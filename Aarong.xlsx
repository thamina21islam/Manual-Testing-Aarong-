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SQA\Manual testing\project\"/>
    </mc:Choice>
  </mc:AlternateContent>
  <xr:revisionPtr revIDLastSave="0" documentId="13_ncr:1_{7B083310-A556-4C52-B961-A708F941B5FB}" xr6:coauthVersionLast="47" xr6:coauthVersionMax="47" xr10:uidLastSave="{00000000-0000-0000-0000-000000000000}"/>
  <bookViews>
    <workbookView xWindow="-120" yWindow="-120" windowWidth="20730" windowHeight="11160" firstSheet="3" activeTab="6" xr2:uid="{00000000-000D-0000-FFFF-FFFF00000000}"/>
  </bookViews>
  <sheets>
    <sheet name="Test Plan" sheetId="1" r:id="rId1"/>
    <sheet name="Mind Maps " sheetId="2" r:id="rId2"/>
    <sheet name="TestScenarios" sheetId="3" r:id="rId3"/>
    <sheet name="TestCase" sheetId="4" r:id="rId4"/>
    <sheet name="Test Summary Report" sheetId="5" r:id="rId5"/>
    <sheet name="Bug Report" sheetId="6" r:id="rId6"/>
    <sheet name="Test Metrics" sheetId="7" r:id="rId7"/>
  </sheets>
  <definedNames>
    <definedName name="Google_Sheet_Link_1871615868" hidden="1">Remember_Me_checkbox_error</definedName>
    <definedName name="Remember_Me_checkbox_error">TestCase!#REF!</definedName>
  </definedNames>
  <calcPr calcId="191029"/>
  <extLst>
    <ext uri="GoogleSheetsCustomDataVersion2">
      <go:sheetsCustomData xmlns:go="http://customooxmlschemas.google.com/" r:id="rId12" roundtripDataChecksum="CwB+yuM1f4bNDg+RAc4MPjQqp6ZNHXZI3g2R0Qy5XJU="/>
    </ext>
  </extLst>
</workbook>
</file>

<file path=xl/calcChain.xml><?xml version="1.0" encoding="utf-8"?>
<calcChain xmlns="http://schemas.openxmlformats.org/spreadsheetml/2006/main">
  <c r="N5" i="4" l="1"/>
  <c r="F15" i="5" s="1"/>
  <c r="F16" i="5" s="1"/>
  <c r="I11" i="5" s="1"/>
  <c r="N4" i="4"/>
  <c r="E16" i="5" s="1"/>
  <c r="I10" i="5" s="1"/>
  <c r="N3" i="4"/>
  <c r="D16" i="5" s="1"/>
  <c r="N2" i="4"/>
  <c r="C16" i="5" s="1"/>
  <c r="H1" i="4"/>
  <c r="N6" i="4" l="1"/>
  <c r="G15" i="5" s="1"/>
  <c r="G16" i="5" s="1"/>
</calcChain>
</file>

<file path=xl/sharedStrings.xml><?xml version="1.0" encoding="utf-8"?>
<sst xmlns="http://schemas.openxmlformats.org/spreadsheetml/2006/main" count="575" uniqueCount="331">
  <si>
    <t>Please Click Here to show my testplan full PDF.</t>
  </si>
  <si>
    <t>Project Name</t>
  </si>
  <si>
    <t>Reference Document</t>
  </si>
  <si>
    <t>FRS</t>
  </si>
  <si>
    <t>Created By</t>
  </si>
  <si>
    <t>Creation Date</t>
  </si>
  <si>
    <t>Approval Date</t>
  </si>
  <si>
    <t>Test Scenario ID</t>
  </si>
  <si>
    <t xml:space="preserve"> Reference</t>
  </si>
  <si>
    <t>Test Scenario Description</t>
  </si>
  <si>
    <t>Priority</t>
  </si>
  <si>
    <t>Number of Test Cases</t>
  </si>
  <si>
    <t>Validate the URL in different browsers.</t>
  </si>
  <si>
    <t>P0</t>
  </si>
  <si>
    <t>P1</t>
  </si>
  <si>
    <t>Product Name</t>
  </si>
  <si>
    <t>TC Start Date</t>
  </si>
  <si>
    <t>TC Execution Start Date</t>
  </si>
  <si>
    <t>TEST CASE</t>
  </si>
  <si>
    <t>Module Name</t>
  </si>
  <si>
    <t>TC End Date</t>
  </si>
  <si>
    <t>TC Execution End Date</t>
  </si>
  <si>
    <t xml:space="preserve"> - -</t>
  </si>
  <si>
    <t>PASS</t>
  </si>
  <si>
    <t>Epic</t>
  </si>
  <si>
    <t>Test Case Developed By</t>
  </si>
  <si>
    <t>Browser (tested)</t>
  </si>
  <si>
    <t>Yes</t>
  </si>
  <si>
    <t>FAIL</t>
  </si>
  <si>
    <t>Developer Name (TL)</t>
  </si>
  <si>
    <t>Test Case Reviewed By</t>
  </si>
  <si>
    <t>Performance (tested)</t>
  </si>
  <si>
    <t>NO RUN</t>
  </si>
  <si>
    <t>Test Executed by</t>
  </si>
  <si>
    <t xml:space="preserve">     </t>
  </si>
  <si>
    <t>BLOCKED</t>
  </si>
  <si>
    <t>TOTAL</t>
  </si>
  <si>
    <t>#SL</t>
  </si>
  <si>
    <t>Module</t>
  </si>
  <si>
    <t>Test Cases</t>
  </si>
  <si>
    <t>Exepected  Result</t>
  </si>
  <si>
    <t>Actual Result</t>
  </si>
  <si>
    <t>Test Data</t>
  </si>
  <si>
    <t xml:space="preserve">Bugs Screen Shot </t>
  </si>
  <si>
    <t>Dev Comments</t>
  </si>
  <si>
    <t>Final Status</t>
  </si>
  <si>
    <t>Remarks</t>
  </si>
  <si>
    <t>Found as per expectation.</t>
  </si>
  <si>
    <t>Passed</t>
  </si>
  <si>
    <t>None</t>
  </si>
  <si>
    <t>N/A</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</si>
  <si>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</si>
  <si>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</si>
  <si>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</si>
  <si>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</si>
  <si>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</si>
  <si>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 xml:space="preserve">Module Name   </t>
  </si>
  <si>
    <t>Account.</t>
  </si>
  <si>
    <t xml:space="preserve">Total No. </t>
  </si>
  <si>
    <t>Status</t>
  </si>
  <si>
    <t xml:space="preserve">Feature Name   </t>
  </si>
  <si>
    <t>Register Account &amp;  Account Login.</t>
  </si>
  <si>
    <t>Test Case Version</t>
  </si>
  <si>
    <t>Written By</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</si>
  <si>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</si>
  <si>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</si>
  <si>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</si>
  <si>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</si>
  <si>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</si>
  <si>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</si>
  <si>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</si>
  <si>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</si>
  <si>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</si>
  <si>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</si>
  <si>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</si>
  <si>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</si>
  <si>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</si>
  <si>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</si>
  <si>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</si>
  <si>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</si>
  <si>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</si>
  <si>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</si>
  <si>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</si>
  <si>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</si>
  <si>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</si>
  <si>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</si>
  <si>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</si>
  <si>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</si>
  <si>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</si>
  <si>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</si>
  <si>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</si>
  <si>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</si>
  <si>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</si>
  <si>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</si>
  <si>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</si>
  <si>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</si>
  <si>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</si>
  <si>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</si>
  <si>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</si>
  <si>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</si>
  <si>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</si>
  <si>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Reproducing Steps:</t>
  </si>
  <si>
    <r>
      <rPr>
        <b/>
        <sz val="11"/>
        <color rgb="FF000000"/>
        <rFont val="Calibri"/>
        <family val="2"/>
      </rPr>
      <t>Env:</t>
    </r>
    <r>
      <rPr>
        <sz val="10"/>
        <color rgb="FF000000"/>
        <rFont val="Calibri"/>
        <family val="2"/>
      </rPr>
      <t xml:space="preserve"> Production.</t>
    </r>
  </si>
  <si>
    <t>4. Click 'Continue'.</t>
  </si>
  <si>
    <t># SL 04</t>
  </si>
  <si>
    <t xml:space="preserve">Screenshot: First name error </t>
  </si>
  <si>
    <t>Test Metrics</t>
  </si>
  <si>
    <t>Metrics</t>
  </si>
  <si>
    <t>Result (%)</t>
  </si>
  <si>
    <t>Percentage of Test Cases Executed</t>
  </si>
  <si>
    <t>(No. of Test Cases Executed / Total no. of Test Cases Written) * 100</t>
  </si>
  <si>
    <t>Percentage of Test Cases Not Executed</t>
  </si>
  <si>
    <t>(No. of Test Cases not Executed / Total no. of Test Cases Written) * 100</t>
  </si>
  <si>
    <t>(0/50)*100 = 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</si>
  <si>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</si>
  <si>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</si>
  <si>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</si>
  <si>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</si>
  <si>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</si>
  <si>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</si>
  <si>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</si>
  <si>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</si>
  <si>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</si>
  <si>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</si>
  <si>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</si>
  <si>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</si>
  <si>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</si>
  <si>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</si>
  <si>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</si>
  <si>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</si>
  <si>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</si>
  <si>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xx</t>
  </si>
  <si>
    <t>Thamina Islam Antora</t>
  </si>
  <si>
    <t>Field</t>
  </si>
  <si>
    <t>Test steps</t>
  </si>
  <si>
    <t>Should accept and register</t>
  </si>
  <si>
    <t>Should not accept and show a message</t>
  </si>
  <si>
    <t>Should be able to register</t>
  </si>
  <si>
    <t>Should not able to register and show a message</t>
  </si>
  <si>
    <t>thamina21i@gmail.com</t>
  </si>
  <si>
    <t>Failed</t>
  </si>
  <si>
    <t>Gender</t>
  </si>
  <si>
    <t>1. Verify all the radio button is clickable</t>
  </si>
  <si>
    <t>Should be clickable</t>
  </si>
  <si>
    <t>Should select only one and other should be automatically unselect</t>
  </si>
  <si>
    <t>First Name</t>
  </si>
  <si>
    <t>Should not register and show a message</t>
  </si>
  <si>
    <t>Last Name</t>
  </si>
  <si>
    <t>https://www.aarong.com/bgd</t>
  </si>
  <si>
    <t>Antora</t>
  </si>
  <si>
    <t>Validate the working of " Location" functionality.</t>
  </si>
  <si>
    <t>Aarong</t>
  </si>
  <si>
    <t>Mobile Number</t>
  </si>
  <si>
    <t>Sign Up</t>
  </si>
  <si>
    <t>Sign Up, Sign In</t>
  </si>
  <si>
    <t>Validate the "Sign Up" functionality</t>
  </si>
  <si>
    <t>Validate the working of the "Sign in" functionality.</t>
  </si>
  <si>
    <t>Validate the working of "Kids" functionality.</t>
  </si>
  <si>
    <t>Sign In</t>
  </si>
  <si>
    <t>Email or Phone number</t>
  </si>
  <si>
    <t>1. Verify with empty field</t>
  </si>
  <si>
    <t xml:space="preserve">1. Open browser 2. Go to https://www.aarong.com/bgd 3. Click on 'My account' </t>
  </si>
  <si>
    <t>Should not allow to log in and show a message</t>
  </si>
  <si>
    <t>2. Verify with unregistered email</t>
  </si>
  <si>
    <t>Should not allow to log in and show a pop up message</t>
  </si>
  <si>
    <t>Should allow to log in and ask for password</t>
  </si>
  <si>
    <t>tahminaislam011@gmail.com</t>
  </si>
  <si>
    <t xml:space="preserve"> tahminaislam011@gmail.com Iaminaarong</t>
  </si>
  <si>
    <t xml:space="preserve">Should allow to log in </t>
  </si>
  <si>
    <t xml:space="preserve"> tahminaislam011@gmail.com Iaminaarong0</t>
  </si>
  <si>
    <t>Should open a new tab and ask for registered email and send a code/link for password reset</t>
  </si>
  <si>
    <t>01646152690</t>
  </si>
  <si>
    <t>01766066926</t>
  </si>
  <si>
    <t xml:space="preserve">Should send an OTP and allow to log in </t>
  </si>
  <si>
    <t>Should not allow to log in and show a message that the number is in wrong format</t>
  </si>
  <si>
    <t>Should not allow to log in and show a message that the email is in wrong format</t>
  </si>
  <si>
    <t>abcfrg.huo@gmail.com</t>
  </si>
  <si>
    <t>Email</t>
  </si>
  <si>
    <t>Module: Log In</t>
  </si>
  <si>
    <r>
      <t>Priority:</t>
    </r>
    <r>
      <rPr>
        <sz val="11"/>
        <color rgb="FF000000"/>
        <rFont val="Calibri"/>
        <family val="2"/>
      </rPr>
      <t xml:space="preserve"> Low</t>
    </r>
  </si>
  <si>
    <r>
      <t>Severity:</t>
    </r>
    <r>
      <rPr>
        <sz val="11"/>
        <color rgb="FF000000"/>
        <rFont val="Calibri"/>
        <family val="2"/>
      </rPr>
      <t xml:space="preserve"> Minor</t>
    </r>
  </si>
  <si>
    <t>Screenshot: Invalid mobile number format</t>
  </si>
  <si>
    <t>Expected: Should not allow registration with invalid mobile number and show a message</t>
  </si>
  <si>
    <t>Responsible QA: Antora</t>
  </si>
  <si>
    <r>
      <t>Issue: Log In</t>
    </r>
    <r>
      <rPr>
        <b/>
        <sz val="11"/>
        <color rgb="FF000000"/>
        <rFont val="Calibri"/>
        <family val="2"/>
      </rPr>
      <t xml:space="preserve"> with invalid mobile number.</t>
    </r>
  </si>
  <si>
    <t>Issue: Log In with invalid email address</t>
  </si>
  <si>
    <r>
      <t>Severity:</t>
    </r>
    <r>
      <rPr>
        <sz val="10"/>
        <color rgb="FF000000"/>
        <rFont val="Calibri"/>
        <family val="2"/>
      </rPr>
      <t xml:space="preserve"> Minor</t>
    </r>
  </si>
  <si>
    <r>
      <t>Responsible QA:</t>
    </r>
    <r>
      <rPr>
        <sz val="10"/>
        <color rgb="FF000000"/>
        <rFont val="Calibri"/>
        <family val="2"/>
      </rPr>
      <t xml:space="preserve">  Antora</t>
    </r>
  </si>
  <si>
    <t>Screenshot: Invalid email format</t>
  </si>
  <si>
    <t xml:space="preserve">Found as per expectation </t>
  </si>
  <si>
    <t>Should not allow to log in and show a message to put valid email or mobile number</t>
  </si>
  <si>
    <t>@%hum123*</t>
  </si>
  <si>
    <t xml:space="preserve">Show a message for invalid OTP and sould not allow to log in </t>
  </si>
  <si>
    <t xml:space="preserve">Show a message for expired OTP and sould not allow to log in </t>
  </si>
  <si>
    <t>Wrong OTP: 655318</t>
  </si>
  <si>
    <t>3. Verify with registered email</t>
  </si>
  <si>
    <t>Not found as per expectation.</t>
  </si>
  <si>
    <t>Valid but expired OTP: 268111</t>
  </si>
  <si>
    <t>Issue: Verify with registered mobile number and expired OT</t>
  </si>
  <si>
    <t xml:space="preserve">Open browser 2. Go to https://www.aarong.com/bgd 3. Click on 'My account' </t>
  </si>
  <si>
    <t>Priority : High</t>
  </si>
  <si>
    <t>Expired OTP</t>
  </si>
  <si>
    <t>Screenshot:Expired OTP</t>
  </si>
  <si>
    <t>Priority : Low</t>
  </si>
  <si>
    <r>
      <t>Severity:</t>
    </r>
    <r>
      <rPr>
        <sz val="10"/>
        <color rgb="FF000000"/>
        <rFont val="Calibri"/>
        <family val="2"/>
      </rPr>
      <t xml:space="preserve"> </t>
    </r>
    <r>
      <rPr>
        <b/>
        <sz val="11"/>
        <color rgb="FF000000"/>
        <rFont val="Calibri"/>
        <family val="2"/>
      </rPr>
      <t>Medium</t>
    </r>
  </si>
  <si>
    <t>125675, 225895, 124578, 125689, 753951, 456713, 789123, 852753, 459371,564578 etc</t>
  </si>
  <si>
    <t>Show a message and after 30r 5 attempts account should be locked</t>
  </si>
  <si>
    <t>didn't fullfill expectation (Partially)</t>
  </si>
  <si>
    <t>4. Verify with registered email but empty password field</t>
  </si>
  <si>
    <t xml:space="preserve"> tahminaislam011@gmail.com </t>
  </si>
  <si>
    <t>5. Verify with registered email but invalid password</t>
  </si>
  <si>
    <t>6. Verify with registered email and valid password</t>
  </si>
  <si>
    <t>7. Verify with registered email and click forget password to log in</t>
  </si>
  <si>
    <t>8. Verify with unregistered mobile number</t>
  </si>
  <si>
    <t>9. Verify with registered mobile number</t>
  </si>
  <si>
    <t>10. Verify with registered mobile number and wrong OTP</t>
  </si>
  <si>
    <t>11. Verify with registered mobile number and expired OTP</t>
  </si>
  <si>
    <t>12. Verify with multiple wrong OTP several times</t>
  </si>
  <si>
    <t>13. Verify with invalid mobile number</t>
  </si>
  <si>
    <t>14. Verify with invalid email</t>
  </si>
  <si>
    <t>15. Verify with alphanumeric &amp; special characters</t>
  </si>
  <si>
    <t>16. Verify facebook &amp; Google button is clickable</t>
  </si>
  <si>
    <t>Should be clickable and open a new window</t>
  </si>
  <si>
    <t>Location</t>
  </si>
  <si>
    <t>1. Verify the radio button is visible and clickable</t>
  </si>
  <si>
    <t xml:space="preserve">Should be clickable and show all location </t>
  </si>
  <si>
    <t>2. Verify single selection</t>
  </si>
  <si>
    <t>Should select only one location</t>
  </si>
  <si>
    <t>3. Verify all the location is clickable and selects correctly</t>
  </si>
  <si>
    <t>Every location should be selected ,one at a time</t>
  </si>
  <si>
    <t>Kids</t>
  </si>
  <si>
    <t>didn't report the bug</t>
  </si>
  <si>
    <t xml:space="preserve">1. Verify with valid name </t>
  </si>
  <si>
    <t>Nayem</t>
  </si>
  <si>
    <t>2. Verify with alphaneumeric name</t>
  </si>
  <si>
    <t>1. Open browser 2. Go to https://www.aarong.com/bgd 3. Click on 'My account'  4.Go to 'Sign Up Now'</t>
  </si>
  <si>
    <t>Nayem000</t>
  </si>
  <si>
    <t>N, naaaaaaayeeeeeeeeeeeeeeeeeeeemmmmmmmmmmmmmmmmmmmmmmmmmmmmmmmmmmmmmmmmmmmmmmmmmmmmmmmmmmmmmmmmm</t>
  </si>
  <si>
    <t>Should not register and show a warning message</t>
  </si>
  <si>
    <t>Didn't found as per expectation.</t>
  </si>
  <si>
    <t>FirstName</t>
  </si>
  <si>
    <t>issue:Verify with short and long name</t>
  </si>
  <si>
    <t>Module: Sign Up</t>
  </si>
  <si>
    <r>
      <t>Severity:</t>
    </r>
    <r>
      <rPr>
        <sz val="10"/>
        <color rgb="FF000000"/>
        <rFont val="Calibri"/>
        <family val="2"/>
      </rPr>
      <t xml:space="preserve"> Low</t>
    </r>
  </si>
  <si>
    <t>1. Verify with valid name</t>
  </si>
  <si>
    <t>Ahmed</t>
  </si>
  <si>
    <t>&amp;nayem!</t>
  </si>
  <si>
    <t>3. Verify with special character name</t>
  </si>
  <si>
    <t>4. Verify with very short or very long name</t>
  </si>
  <si>
    <t xml:space="preserve">5. Verify with empty field </t>
  </si>
  <si>
    <t>01Ahmed</t>
  </si>
  <si>
    <t>&amp;Ahmed!!</t>
  </si>
  <si>
    <t>3. Verify with special charcter name</t>
  </si>
  <si>
    <t>Didn't found as per expectation</t>
  </si>
  <si>
    <t>a, Aaaaaaaahhhhheeeeeedddd</t>
  </si>
  <si>
    <t>5. Verfify with empty field</t>
  </si>
  <si>
    <t>1. Verify with valid mobile number</t>
  </si>
  <si>
    <t>2. Verify accepts registered phone number</t>
  </si>
  <si>
    <t>3. Verify with invalid mobile number</t>
  </si>
  <si>
    <t>01933844882</t>
  </si>
  <si>
    <t>0186554288, 018655428895</t>
  </si>
  <si>
    <t xml:space="preserve">4. Verify with special character </t>
  </si>
  <si>
    <t>017&amp;5685495*</t>
  </si>
  <si>
    <t xml:space="preserve">5. Verify empty mobile number field </t>
  </si>
  <si>
    <t xml:space="preserve">6. Verify with alphabets in mobile number field </t>
  </si>
  <si>
    <t>0176606692Six</t>
  </si>
  <si>
    <t xml:space="preserve">2. Verify that male/female/others is selectable </t>
  </si>
  <si>
    <t>Should be selectable</t>
  </si>
  <si>
    <t>3. Verify only one option is selected, when clicking on other</t>
  </si>
  <si>
    <t>Date of Birth</t>
  </si>
  <si>
    <t>Password</t>
  </si>
  <si>
    <t>Confirm Password</t>
  </si>
  <si>
    <t>1. Verify with valid email</t>
  </si>
  <si>
    <t>2. Verify with empty field</t>
  </si>
  <si>
    <t>Should not allow to register and show a message</t>
  </si>
  <si>
    <t>3. Verify with invalid email</t>
  </si>
  <si>
    <t>abc.34.hju@gmail.com</t>
  </si>
  <si>
    <t>4. Verify with registered mail</t>
  </si>
  <si>
    <t>nayem96a@gmail.com</t>
  </si>
  <si>
    <t>1. Verify DOB field is clickable</t>
  </si>
  <si>
    <t>Should open a calender</t>
  </si>
  <si>
    <t>2. Verify month is selectable</t>
  </si>
  <si>
    <t xml:space="preserve">Should be able to dropdown click and select each month </t>
  </si>
  <si>
    <t>3. Verify year is selectable</t>
  </si>
  <si>
    <t>Should be able to dropdown click and select each year</t>
  </si>
  <si>
    <t>Should not allow to select future date</t>
  </si>
  <si>
    <t>4. Verify date is selectable</t>
  </si>
  <si>
    <t>Should allow to select previous date</t>
  </si>
  <si>
    <t>5. Verify if future date is selectable</t>
  </si>
  <si>
    <t>6. Verify with empty field</t>
  </si>
  <si>
    <t>Should not allow and and show a message</t>
  </si>
  <si>
    <t>1. Verify with valid password</t>
  </si>
  <si>
    <t>Should allow to register</t>
  </si>
  <si>
    <t>Antora123</t>
  </si>
  <si>
    <t>2. Verify with less than required length</t>
  </si>
  <si>
    <t>A1234</t>
  </si>
  <si>
    <t>3. Verify with empty field</t>
  </si>
  <si>
    <t>1. Verify with matched password</t>
  </si>
  <si>
    <t>2. Verify with unmatched password</t>
  </si>
  <si>
    <t>Antora12</t>
  </si>
  <si>
    <t>Checkbox</t>
  </si>
  <si>
    <t>1. Verify checkbox is selectable</t>
  </si>
  <si>
    <t>2. Verify submitting without checkbox</t>
  </si>
  <si>
    <t>Upon clicking selects checkbox and able to register</t>
  </si>
  <si>
    <t>Submit</t>
  </si>
  <si>
    <t>1. Verify submit button is clickable</t>
  </si>
  <si>
    <t xml:space="preserve">Should be clickable and allow to register </t>
  </si>
  <si>
    <t>Should be able to register and account created!</t>
  </si>
  <si>
    <t>2. Verify with valid data in all field</t>
  </si>
  <si>
    <t>3. Verify withot data</t>
  </si>
  <si>
    <t>Should require valid data in all the fields</t>
  </si>
  <si>
    <t>Module: Sign in</t>
  </si>
  <si>
    <t># SL 11</t>
  </si>
  <si>
    <t># SL 14</t>
  </si>
  <si>
    <t># SL 13</t>
  </si>
  <si>
    <t>(55/56)*100 = 98.21</t>
  </si>
  <si>
    <t>(1/56)*100 = 1.79</t>
  </si>
  <si>
    <t>(50/55)*100 = 90.91</t>
  </si>
  <si>
    <t>(5/55)*100 = 9.09</t>
  </si>
  <si>
    <t>No. of Defects found / Size (No. of Requirements)*100</t>
  </si>
  <si>
    <t>TS_05</t>
  </si>
  <si>
    <t>TS_04</t>
  </si>
  <si>
    <t>TS_03</t>
  </si>
  <si>
    <t>TS_02</t>
  </si>
  <si>
    <t>TS_01</t>
  </si>
  <si>
    <t>01258964578</t>
  </si>
  <si>
    <t>Full Mindmap of Aarong</t>
  </si>
  <si>
    <t>1. Open browser 
2. Go to https://www.aarong.com/bgd 
3. Click on 'My account'  
4.Go to 'Sign Up Now'</t>
  </si>
  <si>
    <t>1. Open browser
 2. Go to https://www.aarong.com/bgd 
3. Click on 'My account' 
 4.Go to 'Sign Up Now'</t>
  </si>
  <si>
    <t xml:space="preserve">1. Open browser 
2. Go to https://www.aarong.com/bgd 
3. Click on 'My account' </t>
  </si>
  <si>
    <t>1. Open browser 
2. Go to https://www.aarong.com/bgd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</si>
</sst>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0"/>
      <color rgb="FF000000"/>
      <name val="Calibri"/>
      <scheme val="minor"/>
    </font>
    <font>
      <sz val="14"/>
      <color theme="9"/>
      <name val="Calibri"/>
      <family val="2"/>
    </font>
    <font>
      <u/>
      <sz val="10"/>
      <color rgb="FF0000FF"/>
      <name val="Calibri"/>
      <family val="2"/>
    </font>
    <font>
      <b/>
      <sz val="10"/>
      <color rgb="FF000000"/>
      <name val="Calibri"/>
      <family val="2"/>
    </font>
    <font>
      <sz val="10"/>
      <color theme="1"/>
      <name val="Arial"/>
      <family val="2"/>
    </font>
    <font>
      <sz val="10"/>
      <color theme="1"/>
      <name val="Calibri"/>
      <family val="2"/>
    </font>
    <font>
      <sz val="14"/>
      <color theme="1"/>
      <name val="Calibri"/>
      <family val="2"/>
    </font>
    <font>
      <sz val="12"/>
      <color theme="1"/>
      <name val="Calibri"/>
      <family val="2"/>
    </font>
    <font>
      <sz val="10"/>
      <color rgb="FF000000"/>
      <name val="Arial"/>
      <family val="2"/>
    </font>
    <font>
      <sz val="11"/>
      <color theme="1"/>
      <name val="Arial"/>
      <family val="2"/>
    </font>
    <font>
      <sz val="10"/>
      <color rgb="FFFFFFFF"/>
      <name val="Arial"/>
      <family val="2"/>
    </font>
    <font>
      <sz val="10"/>
      <name val="Calibri"/>
      <family val="2"/>
    </font>
    <font>
      <b/>
      <sz val="10"/>
      <color rgb="FFFFFFFF"/>
      <name val="Arial"/>
      <family val="2"/>
    </font>
    <font>
      <sz val="10"/>
      <color theme="1"/>
      <name val="Arial"/>
      <family val="2"/>
    </font>
    <font>
      <sz val="11"/>
      <color rgb="FF000000"/>
      <name val="Arial"/>
      <family val="2"/>
    </font>
    <font>
      <b/>
      <sz val="11"/>
      <color rgb="FF000000"/>
      <name val="Calibri"/>
      <family val="2"/>
    </font>
    <font>
      <sz val="11"/>
      <color rgb="FF000000"/>
      <name val="Calibri"/>
      <family val="2"/>
    </font>
    <font>
      <sz val="10"/>
      <color rgb="FF000000"/>
      <name val="Calibri"/>
      <family val="2"/>
    </font>
    <font>
      <sz val="10"/>
      <color rgb="FF000000"/>
      <name val="Verdana"/>
      <family val="2"/>
    </font>
    <font>
      <sz val="10"/>
      <color rgb="FFFF0000"/>
      <name val="Calibri"/>
      <family val="2"/>
    </font>
    <font>
      <b/>
      <sz val="10"/>
      <color theme="1"/>
      <name val="Verdana"/>
      <family val="2"/>
    </font>
    <font>
      <b/>
      <sz val="10"/>
      <color rgb="FF000000"/>
      <name val="Verdana"/>
      <family val="2"/>
    </font>
    <font>
      <sz val="10"/>
      <color theme="1"/>
      <name val="Verdana"/>
      <family val="2"/>
    </font>
    <font>
      <b/>
      <sz val="10"/>
      <color rgb="FFFFFFFF"/>
      <name val="Verdana"/>
      <family val="2"/>
    </font>
    <font>
      <sz val="11"/>
      <color rgb="FF000000"/>
      <name val="Verdana"/>
      <family val="2"/>
    </font>
    <font>
      <b/>
      <sz val="11"/>
      <color rgb="FFFFFFFF"/>
      <name val="Times New Roman"/>
      <family val="1"/>
    </font>
    <font>
      <b/>
      <sz val="10"/>
      <color rgb="FFFFFFFF"/>
      <name val="Calibri"/>
      <family val="2"/>
    </font>
    <font>
      <b/>
      <sz val="12"/>
      <color rgb="FFFFFFFF"/>
      <name val="Times New Roman"/>
      <family val="1"/>
    </font>
    <font>
      <b/>
      <sz val="12"/>
      <color theme="0"/>
      <name val="Calibri"/>
      <family val="2"/>
    </font>
    <font>
      <sz val="12"/>
      <color rgb="FFFFFFFF"/>
      <name val="Times New Roman"/>
      <family val="1"/>
    </font>
    <font>
      <b/>
      <sz val="10"/>
      <color rgb="FF000000"/>
      <name val="Arial"/>
      <family val="2"/>
    </font>
    <font>
      <b/>
      <sz val="12"/>
      <color theme="1"/>
      <name val="Calibri"/>
      <family val="2"/>
    </font>
    <font>
      <sz val="10"/>
      <color rgb="FFFFFFFF"/>
      <name val="Verdana"/>
      <family val="2"/>
    </font>
    <font>
      <b/>
      <sz val="11"/>
      <color theme="1"/>
      <name val="Calibri"/>
      <family val="2"/>
    </font>
    <font>
      <sz val="11"/>
      <color rgb="FFFF0000"/>
      <name val="Arial"/>
      <family val="2"/>
    </font>
    <font>
      <sz val="11"/>
      <color rgb="FFFFFFFF"/>
      <name val="Arial"/>
      <family val="2"/>
    </font>
    <font>
      <sz val="11"/>
      <color rgb="FFFFFFFF"/>
      <name val="Calibri"/>
      <family val="2"/>
    </font>
    <font>
      <sz val="11"/>
      <color theme="1"/>
      <name val="Calibri"/>
      <family val="2"/>
    </font>
    <font>
      <sz val="11"/>
      <color rgb="FFFF0000"/>
      <name val="Calibri"/>
      <family val="2"/>
    </font>
    <font>
      <sz val="11"/>
      <color rgb="FF0000FF"/>
      <name val="Calibri"/>
      <family val="2"/>
    </font>
    <font>
      <sz val="11"/>
      <color theme="1"/>
      <name val="Verdana"/>
      <family val="2"/>
    </font>
    <font>
      <sz val="10"/>
      <color theme="1"/>
      <name val="Calibri"/>
      <family val="2"/>
    </font>
    <font>
      <sz val="11"/>
      <color rgb="FF0A0A0A"/>
      <name val="Calibri"/>
      <family val="2"/>
    </font>
    <font>
      <b/>
      <sz val="24"/>
      <color rgb="FFFFFFFF"/>
      <name val="Calibri"/>
      <family val="2"/>
    </font>
    <font>
      <b/>
      <sz val="12"/>
      <color rgb="FF222222"/>
      <name val="Arial"/>
      <family val="2"/>
    </font>
    <font>
      <b/>
      <sz val="10"/>
      <color theme="1"/>
      <name val="Arial"/>
      <family val="2"/>
    </font>
    <font>
      <sz val="10"/>
      <color rgb="FF222222"/>
      <name val="Arial"/>
      <family val="2"/>
    </font>
    <font>
      <b/>
      <sz val="11"/>
      <color theme="1"/>
      <name val="Comfortaa"/>
    </font>
    <font>
      <b/>
      <sz val="14"/>
      <color theme="1"/>
      <name val="Calibri"/>
      <family val="2"/>
    </font>
    <font>
      <b/>
      <sz val="20"/>
      <color rgb="FF000000"/>
      <name val="Calibri"/>
      <family val="2"/>
    </font>
    <font>
      <b/>
      <sz val="12"/>
      <color rgb="FF000000"/>
      <name val="Calibri"/>
      <family val="2"/>
    </font>
    <font>
      <b/>
      <u/>
      <sz val="11"/>
      <color rgb="FF0000FF"/>
      <name val="Calibri"/>
      <family val="2"/>
    </font>
    <font>
      <b/>
      <sz val="18"/>
      <color rgb="FFFFD965"/>
      <name val="Calibri"/>
      <family val="2"/>
    </font>
    <font>
      <b/>
      <sz val="14"/>
      <color rgb="FF000000"/>
      <name val="Calibri"/>
      <family val="2"/>
    </font>
    <font>
      <u/>
      <sz val="10"/>
      <color theme="10"/>
      <name val="Calibri"/>
      <scheme val="minor"/>
    </font>
    <font>
      <u/>
      <sz val="10"/>
      <color theme="10"/>
      <name val="Calibri"/>
      <family val="2"/>
      <scheme val="minor"/>
    </font>
    <font>
      <b/>
      <sz val="11"/>
      <color rgb="FFFFFFFF"/>
      <name val="Arial"/>
      <family val="2"/>
    </font>
    <font>
      <sz val="10"/>
      <name val="Arial"/>
      <family val="2"/>
    </font>
    <font>
      <b/>
      <sz val="11"/>
      <color rgb="FF000000"/>
      <name val="Arial"/>
      <family val="2"/>
    </font>
    <font>
      <b/>
      <sz val="12"/>
      <color rgb="FFFFFFFF"/>
      <name val="Arial"/>
      <family val="2"/>
    </font>
    <font>
      <sz val="11"/>
      <color rgb="FF333333"/>
      <name val="Arial"/>
      <family val="2"/>
    </font>
    <font>
      <u/>
      <sz val="11"/>
      <color rgb="FF0000FF"/>
      <name val="Arial"/>
      <family val="2"/>
    </font>
    <font>
      <b/>
      <sz val="10"/>
      <name val="Calibri"/>
      <family val="2"/>
    </font>
    <font>
      <sz val="12"/>
      <color rgb="FF000000"/>
      <name val="Arial"/>
      <family val="2"/>
    </font>
    <font>
      <b/>
      <sz val="12"/>
      <color theme="1"/>
      <name val="Arial"/>
      <family val="2"/>
    </font>
    <font>
      <sz val="12"/>
      <color theme="1"/>
      <name val="Arial"/>
      <family val="2"/>
    </font>
    <font>
      <sz val="12"/>
      <name val="Arial"/>
      <family val="2"/>
    </font>
    <font>
      <sz val="10"/>
      <color rgb="FF000000"/>
      <name val="Calibri"/>
      <family val="2"/>
      <scheme val="minor"/>
    </font>
    <font>
      <sz val="11"/>
      <name val="Arial"/>
      <family val="2"/>
    </font>
  </fonts>
  <fills count="41">
    <fill>
      <patternFill patternType="none"/>
    </fill>
    <fill>
      <patternFill patternType="gray125"/>
    </fill>
    <fill>
      <patternFill patternType="solid">
        <fgColor rgb="FF262626"/>
        <bgColor rgb="FF262626"/>
      </patternFill>
    </fill>
    <fill>
      <patternFill patternType="solid">
        <fgColor rgb="FF2F5496"/>
        <bgColor rgb="FF2F5496"/>
      </patternFill>
    </fill>
    <fill>
      <patternFill patternType="solid">
        <fgColor rgb="FFB7B7B7"/>
        <bgColor rgb="FFB7B7B7"/>
      </patternFill>
    </fill>
    <fill>
      <patternFill patternType="solid">
        <fgColor rgb="FFCCCCCC"/>
        <bgColor rgb="FFCCCCCC"/>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theme="5"/>
        <bgColor theme="5"/>
      </patternFill>
    </fill>
    <fill>
      <patternFill patternType="solid">
        <fgColor rgb="FFFFFFFF"/>
        <bgColor rgb="FFFFFFFF"/>
      </patternFill>
    </fill>
    <fill>
      <patternFill patternType="solid">
        <fgColor theme="0"/>
        <bgColor theme="0"/>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rgb="FF548135"/>
        <bgColor rgb="FF548135"/>
      </patternFill>
    </fill>
    <fill>
      <patternFill patternType="solid">
        <fgColor rgb="FFF4B083"/>
        <bgColor rgb="FFF4B083"/>
      </patternFill>
    </fill>
    <fill>
      <patternFill patternType="solid">
        <fgColor theme="0"/>
        <bgColor theme="5"/>
      </patternFill>
    </fill>
    <fill>
      <patternFill patternType="solid">
        <fgColor theme="0"/>
        <bgColor indexed="64"/>
      </patternFill>
    </fill>
    <fill>
      <patternFill patternType="solid">
        <fgColor theme="4"/>
        <bgColor indexed="64"/>
      </patternFill>
    </fill>
    <fill>
      <patternFill patternType="solid">
        <fgColor theme="4"/>
        <bgColor rgb="FFFFFFFF"/>
      </patternFill>
    </fill>
  </fills>
  <borders count="93">
    <border>
      <left/>
      <right/>
      <top/>
      <bottom/>
      <diagonal/>
    </border>
    <border>
      <left/>
      <right/>
      <top/>
      <bottom/>
      <diagonal/>
    </border>
    <border>
      <left/>
      <right/>
      <top/>
      <bottom style="thin">
        <color rgb="FFFFFFFF"/>
      </bottom>
      <diagonal/>
    </border>
    <border>
      <left/>
      <right/>
      <top/>
      <bottom style="thin">
        <color rgb="FF000000"/>
      </bottom>
      <diagonal/>
    </border>
    <border>
      <left style="thin">
        <color rgb="FFFFFFFF"/>
      </left>
      <right style="thin">
        <color rgb="FF000000"/>
      </right>
      <top/>
      <bottom style="thin">
        <color rgb="FFFFFFF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theme="1"/>
      </left>
      <right style="medium">
        <color theme="1"/>
      </right>
      <top style="medium">
        <color theme="1"/>
      </top>
      <bottom style="medium">
        <color theme="1"/>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style="thin">
        <color theme="1"/>
      </left>
      <right/>
      <top/>
      <bottom/>
      <diagonal/>
    </border>
    <border>
      <left/>
      <right style="thin">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medium">
        <color rgb="FF000000"/>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theme="1"/>
      </left>
      <right/>
      <top style="medium">
        <color theme="1"/>
      </top>
      <bottom style="medium">
        <color theme="1"/>
      </bottom>
      <diagonal/>
    </border>
    <border>
      <left/>
      <right style="medium">
        <color indexed="64"/>
      </right>
      <top/>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right style="medium">
        <color indexed="64"/>
      </right>
      <top style="thin">
        <color rgb="FF000000"/>
      </top>
      <bottom/>
      <diagonal/>
    </border>
    <border>
      <left style="medium">
        <color indexed="64"/>
      </left>
      <right style="thin">
        <color rgb="FF000000"/>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top/>
      <bottom style="medium">
        <color theme="1"/>
      </bottom>
      <diagonal/>
    </border>
  </borders>
  <cellStyleXfs count="2">
    <xf numFmtId="0" fontId="0" fillId="0" borderId="0"/>
    <xf numFmtId="0" fontId="54" fillId="0" borderId="0" applyNumberFormat="0" applyFill="0" applyBorder="0" applyAlignment="0" applyProtection="0"/>
  </cellStyleXfs>
  <cellXfs count="50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49" fontId="5" fillId="0" borderId="0" xfId="0" applyNumberFormat="1" applyFont="1"/>
    <xf numFmtId="0" fontId="6" fillId="0" borderId="0" xfId="0" applyFont="1"/>
    <xf numFmtId="0" fontId="7" fillId="0" borderId="0" xfId="0" applyFont="1"/>
    <xf numFmtId="0" fontId="4"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center" wrapText="1"/>
    </xf>
    <xf numFmtId="0" fontId="9" fillId="0" borderId="2" xfId="0" applyFont="1" applyBorder="1" applyAlignment="1">
      <alignment horizontal="center" vertical="center"/>
    </xf>
    <xf numFmtId="0" fontId="9" fillId="0" borderId="3" xfId="0" applyFont="1" applyBorder="1" applyAlignment="1">
      <alignment vertical="top"/>
    </xf>
    <xf numFmtId="0" fontId="9" fillId="0" borderId="3" xfId="0" applyFont="1" applyBorder="1" applyAlignment="1">
      <alignment horizontal="left" vertical="center"/>
    </xf>
    <xf numFmtId="0" fontId="9" fillId="0" borderId="0" xfId="0" applyFont="1" applyAlignment="1">
      <alignment horizontal="center" vertical="center"/>
    </xf>
    <xf numFmtId="0" fontId="10" fillId="3" borderId="4"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left" vertical="center"/>
    </xf>
    <xf numFmtId="0" fontId="9" fillId="0" borderId="3" xfId="0" applyFont="1" applyBorder="1" applyAlignment="1">
      <alignment horizontal="center" vertical="center"/>
    </xf>
    <xf numFmtId="0" fontId="12" fillId="3" borderId="3" xfId="0" applyFont="1" applyFill="1" applyBorder="1" applyAlignment="1">
      <alignment horizontal="center" vertical="center"/>
    </xf>
    <xf numFmtId="0" fontId="12" fillId="3" borderId="3" xfId="0" applyFont="1" applyFill="1" applyBorder="1" applyAlignment="1">
      <alignment horizontal="center" vertical="top"/>
    </xf>
    <xf numFmtId="0" fontId="12" fillId="3" borderId="3" xfId="0" applyFont="1" applyFill="1" applyBorder="1" applyAlignment="1">
      <alignment horizontal="left" vertical="center"/>
    </xf>
    <xf numFmtId="0" fontId="12" fillId="3" borderId="0" xfId="0" applyFont="1" applyFill="1" applyAlignment="1">
      <alignment horizontal="center" vertical="center"/>
    </xf>
    <xf numFmtId="0" fontId="12" fillId="3" borderId="6" xfId="0" applyFont="1" applyFill="1" applyBorder="1" applyAlignment="1">
      <alignment horizontal="center" vertical="center"/>
    </xf>
    <xf numFmtId="0" fontId="12" fillId="3" borderId="5" xfId="0" applyFont="1" applyFill="1" applyBorder="1" applyAlignment="1">
      <alignment horizontal="center" vertical="center"/>
    </xf>
    <xf numFmtId="0" fontId="12" fillId="3" borderId="5" xfId="0" applyFont="1" applyFill="1" applyBorder="1" applyAlignment="1">
      <alignment horizontal="left" vertical="center"/>
    </xf>
    <xf numFmtId="0" fontId="4" fillId="0" borderId="0" xfId="0" applyFont="1" applyAlignment="1">
      <alignment vertical="center"/>
    </xf>
    <xf numFmtId="0" fontId="4" fillId="0" borderId="7" xfId="0" applyFont="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horizontal="left" vertical="center" wrapText="1"/>
    </xf>
    <xf numFmtId="0" fontId="14" fillId="0" borderId="7" xfId="0" applyFont="1" applyBorder="1" applyAlignment="1">
      <alignment horizontal="left" vertical="center" wrapText="1"/>
    </xf>
    <xf numFmtId="0" fontId="4" fillId="4" borderId="7" xfId="0" applyFont="1" applyFill="1" applyBorder="1" applyAlignment="1">
      <alignment horizontal="center" vertical="center"/>
    </xf>
    <xf numFmtId="0" fontId="8" fillId="4" borderId="7" xfId="0" applyFont="1" applyFill="1" applyBorder="1" applyAlignment="1">
      <alignment horizontal="center" vertical="center"/>
    </xf>
    <xf numFmtId="0" fontId="14" fillId="4" borderId="7" xfId="0" applyFont="1" applyFill="1" applyBorder="1" applyAlignment="1">
      <alignment horizontal="left" vertical="center" wrapText="1"/>
    </xf>
    <xf numFmtId="0" fontId="14" fillId="4" borderId="7" xfId="0" applyFont="1" applyFill="1" applyBorder="1" applyAlignment="1">
      <alignment horizontal="center" vertical="center"/>
    </xf>
    <xf numFmtId="0" fontId="4" fillId="4" borderId="0" xfId="0" applyFont="1" applyFill="1"/>
    <xf numFmtId="0" fontId="14" fillId="0" borderId="7" xfId="0" applyFont="1" applyBorder="1" applyAlignment="1">
      <alignment horizontal="center" vertical="center"/>
    </xf>
    <xf numFmtId="0" fontId="4" fillId="5" borderId="7" xfId="0" applyFont="1" applyFill="1" applyBorder="1" applyAlignment="1">
      <alignment horizontal="center" vertical="center"/>
    </xf>
    <xf numFmtId="0" fontId="8" fillId="5" borderId="7" xfId="0" applyFont="1" applyFill="1" applyBorder="1" applyAlignment="1">
      <alignment horizontal="center" vertical="center"/>
    </xf>
    <xf numFmtId="0" fontId="14" fillId="5" borderId="7" xfId="0" applyFont="1" applyFill="1" applyBorder="1" applyAlignment="1">
      <alignment horizontal="left" vertical="center" wrapText="1"/>
    </xf>
    <xf numFmtId="0" fontId="14" fillId="5" borderId="7" xfId="0" applyFont="1" applyFill="1" applyBorder="1" applyAlignment="1">
      <alignment horizontal="center" vertical="center"/>
    </xf>
    <xf numFmtId="0" fontId="4" fillId="5" borderId="0" xfId="0" applyFont="1" applyFill="1"/>
    <xf numFmtId="0" fontId="19" fillId="0" borderId="0" xfId="0" applyFont="1" applyAlignment="1">
      <alignment horizontal="center" vertical="center" wrapText="1"/>
    </xf>
    <xf numFmtId="0" fontId="18" fillId="0" borderId="0" xfId="0" applyFont="1" applyAlignment="1">
      <alignment wrapText="1"/>
    </xf>
    <xf numFmtId="0" fontId="21" fillId="8" borderId="15" xfId="0" applyFont="1" applyFill="1" applyBorder="1" applyAlignment="1">
      <alignment horizontal="center" vertical="center" wrapText="1"/>
    </xf>
    <xf numFmtId="0" fontId="22" fillId="9" borderId="16" xfId="0" applyFont="1" applyFill="1" applyBorder="1" applyAlignment="1">
      <alignment horizontal="center" vertical="center" wrapText="1"/>
    </xf>
    <xf numFmtId="0" fontId="23" fillId="10" borderId="15" xfId="0" applyFont="1" applyFill="1" applyBorder="1" applyAlignment="1">
      <alignment horizontal="center" vertical="center" wrapText="1"/>
    </xf>
    <xf numFmtId="0" fontId="20" fillId="11" borderId="15" xfId="0" applyFont="1" applyFill="1" applyBorder="1" applyAlignment="1">
      <alignment horizontal="center" vertical="center" wrapText="1"/>
    </xf>
    <xf numFmtId="0" fontId="19" fillId="12" borderId="1" xfId="0" applyFont="1" applyFill="1" applyBorder="1" applyAlignment="1">
      <alignment horizontal="center" vertical="center" wrapText="1"/>
    </xf>
    <xf numFmtId="0" fontId="18" fillId="12" borderId="1" xfId="0" applyFont="1" applyFill="1" applyBorder="1" applyAlignment="1">
      <alignment wrapText="1"/>
    </xf>
    <xf numFmtId="0" fontId="20" fillId="13" borderId="15" xfId="0" applyFont="1" applyFill="1" applyBorder="1" applyAlignment="1">
      <alignment horizontal="center" vertical="center" wrapText="1"/>
    </xf>
    <xf numFmtId="0" fontId="22" fillId="12" borderId="16" xfId="0" applyFont="1" applyFill="1" applyBorder="1" applyAlignment="1">
      <alignment horizontal="center" vertical="center" wrapText="1"/>
    </xf>
    <xf numFmtId="0" fontId="20" fillId="7" borderId="18" xfId="0" applyFont="1" applyFill="1" applyBorder="1" applyAlignment="1">
      <alignment horizontal="center" vertical="center" wrapText="1"/>
    </xf>
    <xf numFmtId="0" fontId="20" fillId="9" borderId="19" xfId="0" applyFont="1" applyFill="1" applyBorder="1" applyAlignment="1">
      <alignment horizontal="center" vertical="center" wrapText="1"/>
    </xf>
    <xf numFmtId="0" fontId="25" fillId="14" borderId="20" xfId="0" applyFont="1" applyFill="1" applyBorder="1" applyAlignment="1">
      <alignment horizontal="center" vertical="center" wrapText="1"/>
    </xf>
    <xf numFmtId="0" fontId="27" fillId="14" borderId="20" xfId="0" applyFont="1" applyFill="1" applyBorder="1" applyAlignment="1">
      <alignment horizontal="center" vertical="center" wrapText="1"/>
    </xf>
    <xf numFmtId="0" fontId="14" fillId="15" borderId="21" xfId="0" applyFont="1" applyFill="1" applyBorder="1" applyAlignment="1">
      <alignment horizontal="left" vertical="center" wrapText="1"/>
    </xf>
    <xf numFmtId="0" fontId="14" fillId="15" borderId="21" xfId="0" applyFont="1" applyFill="1" applyBorder="1" applyAlignment="1">
      <alignment horizontal="center" vertical="center" wrapText="1"/>
    </xf>
    <xf numFmtId="0" fontId="9" fillId="0" borderId="21" xfId="0" applyFont="1" applyBorder="1" applyAlignment="1">
      <alignment horizontal="left" vertical="center" wrapText="1"/>
    </xf>
    <xf numFmtId="0" fontId="9" fillId="0" borderId="0" xfId="0" applyFont="1" applyAlignment="1">
      <alignment horizontal="left" vertical="center" wrapText="1"/>
    </xf>
    <xf numFmtId="0" fontId="35" fillId="15" borderId="21" xfId="0" applyFont="1" applyFill="1" applyBorder="1" applyAlignment="1">
      <alignment horizontal="left" vertical="center" wrapText="1"/>
    </xf>
    <xf numFmtId="0" fontId="16" fillId="0" borderId="21" xfId="0" applyFont="1" applyBorder="1" applyAlignment="1">
      <alignment horizontal="left" vertical="center" wrapText="1"/>
    </xf>
    <xf numFmtId="0" fontId="37" fillId="0" borderId="21" xfId="0" applyFont="1" applyBorder="1" applyAlignment="1">
      <alignment horizontal="left" vertical="center" wrapText="1"/>
    </xf>
    <xf numFmtId="0" fontId="16" fillId="0" borderId="21" xfId="0" applyFont="1" applyBorder="1" applyAlignment="1">
      <alignment horizontal="left" vertical="top" wrapText="1"/>
    </xf>
    <xf numFmtId="0" fontId="38" fillId="0" borderId="21" xfId="0" applyFont="1" applyBorder="1" applyAlignment="1">
      <alignment horizontal="center" vertical="center" wrapText="1"/>
    </xf>
    <xf numFmtId="0" fontId="18" fillId="0" borderId="21" xfId="0" applyFont="1" applyBorder="1" applyAlignment="1">
      <alignment wrapText="1"/>
    </xf>
    <xf numFmtId="0" fontId="39" fillId="0" borderId="21" xfId="0" applyFont="1" applyBorder="1" applyAlignment="1">
      <alignment horizontal="left" vertical="center" wrapText="1"/>
    </xf>
    <xf numFmtId="0" fontId="37" fillId="0" borderId="21" xfId="0" applyFont="1" applyBorder="1" applyAlignment="1">
      <alignment horizontal="center" vertical="center" wrapText="1"/>
    </xf>
    <xf numFmtId="0" fontId="16" fillId="0" borderId="6" xfId="0" applyFont="1" applyBorder="1" applyAlignment="1">
      <alignment horizontal="left" vertical="center" wrapText="1"/>
    </xf>
    <xf numFmtId="0" fontId="38" fillId="0" borderId="6" xfId="0" applyFont="1" applyBorder="1" applyAlignment="1">
      <alignment horizontal="center" vertical="center" wrapText="1"/>
    </xf>
    <xf numFmtId="0" fontId="16" fillId="0" borderId="0" xfId="0" applyFont="1" applyAlignment="1">
      <alignment horizontal="left" vertical="center" wrapText="1"/>
    </xf>
    <xf numFmtId="0" fontId="39" fillId="0" borderId="5" xfId="0" applyFont="1" applyBorder="1" applyAlignment="1">
      <alignment horizontal="left" vertical="center" wrapText="1"/>
    </xf>
    <xf numFmtId="0" fontId="16" fillId="0" borderId="7" xfId="0" applyFont="1" applyBorder="1" applyAlignment="1">
      <alignment horizontal="left" vertical="center" wrapText="1"/>
    </xf>
    <xf numFmtId="0" fontId="38" fillId="0" borderId="7" xfId="0" applyFont="1" applyBorder="1" applyAlignment="1">
      <alignment horizontal="center" vertical="center" wrapText="1"/>
    </xf>
    <xf numFmtId="0" fontId="39" fillId="0" borderId="28" xfId="0" applyFont="1" applyBorder="1" applyAlignment="1">
      <alignment horizontal="left" vertical="center" wrapText="1"/>
    </xf>
    <xf numFmtId="0" fontId="16" fillId="0" borderId="28" xfId="0" applyFont="1" applyBorder="1" applyAlignment="1">
      <alignment horizontal="left" vertical="center" wrapText="1"/>
    </xf>
    <xf numFmtId="0" fontId="37" fillId="0" borderId="7" xfId="0" applyFont="1" applyBorder="1" applyAlignment="1">
      <alignment horizontal="left" vertical="center" wrapText="1"/>
    </xf>
    <xf numFmtId="0" fontId="16" fillId="15" borderId="7" xfId="0" applyFont="1" applyFill="1" applyBorder="1" applyAlignment="1">
      <alignment horizontal="left" vertical="center" wrapText="1"/>
    </xf>
    <xf numFmtId="0" fontId="38" fillId="15" borderId="7" xfId="0" applyFont="1" applyFill="1" applyBorder="1" applyAlignment="1">
      <alignment horizontal="center" vertical="center" wrapText="1"/>
    </xf>
    <xf numFmtId="0" fontId="37" fillId="0" borderId="36" xfId="0" applyFont="1" applyBorder="1" applyAlignment="1">
      <alignment horizontal="left" vertical="center" wrapText="1"/>
    </xf>
    <xf numFmtId="0" fontId="38" fillId="0" borderId="36" xfId="0" applyFont="1" applyBorder="1" applyAlignment="1">
      <alignment horizontal="center" vertical="center" wrapText="1"/>
    </xf>
    <xf numFmtId="0" fontId="16" fillId="15" borderId="20" xfId="0" applyFont="1" applyFill="1" applyBorder="1" applyAlignment="1">
      <alignment horizontal="left" vertical="center" wrapText="1"/>
    </xf>
    <xf numFmtId="0" fontId="38" fillId="15" borderId="20" xfId="0" applyFont="1" applyFill="1" applyBorder="1" applyAlignment="1">
      <alignment horizontal="center" vertical="center" wrapText="1"/>
    </xf>
    <xf numFmtId="0" fontId="16" fillId="15" borderId="40" xfId="0" applyFont="1" applyFill="1" applyBorder="1" applyAlignment="1">
      <alignment horizontal="left" vertical="center" wrapText="1"/>
    </xf>
    <xf numFmtId="0" fontId="38" fillId="15" borderId="40" xfId="0" applyFont="1" applyFill="1" applyBorder="1" applyAlignment="1">
      <alignment horizontal="center" vertical="center" wrapText="1"/>
    </xf>
    <xf numFmtId="0" fontId="16" fillId="15" borderId="41" xfId="0" applyFont="1" applyFill="1" applyBorder="1" applyAlignment="1">
      <alignment horizontal="left" vertical="center" wrapText="1"/>
    </xf>
    <xf numFmtId="0" fontId="16" fillId="0" borderId="29" xfId="0" applyFont="1" applyBorder="1" applyAlignment="1">
      <alignment horizontal="left" vertical="center" wrapText="1"/>
    </xf>
    <xf numFmtId="0" fontId="38" fillId="0" borderId="29" xfId="0" applyFont="1" applyBorder="1" applyAlignment="1">
      <alignment horizontal="center" vertical="center" wrapText="1"/>
    </xf>
    <xf numFmtId="0" fontId="37" fillId="0" borderId="29" xfId="0" applyFont="1" applyBorder="1" applyAlignment="1">
      <alignment horizontal="left" vertical="center" wrapText="1"/>
    </xf>
    <xf numFmtId="0" fontId="16" fillId="0" borderId="39" xfId="0" applyFont="1" applyBorder="1" applyAlignment="1">
      <alignment horizontal="left" vertical="center" wrapText="1"/>
    </xf>
    <xf numFmtId="0" fontId="38" fillId="0" borderId="39" xfId="0" applyFont="1" applyBorder="1" applyAlignment="1">
      <alignment horizontal="center" vertical="center" wrapText="1"/>
    </xf>
    <xf numFmtId="0" fontId="37" fillId="0" borderId="6" xfId="0" applyFont="1" applyBorder="1" applyAlignment="1">
      <alignment horizontal="left" vertical="center" wrapText="1"/>
    </xf>
    <xf numFmtId="0" fontId="37" fillId="0" borderId="39" xfId="0" applyFont="1" applyBorder="1" applyAlignment="1">
      <alignment horizontal="left" vertical="center" wrapText="1"/>
    </xf>
    <xf numFmtId="0" fontId="37" fillId="15" borderId="20" xfId="0" applyFont="1" applyFill="1" applyBorder="1" applyAlignment="1">
      <alignment horizontal="left" vertical="center" wrapText="1"/>
    </xf>
    <xf numFmtId="0" fontId="37" fillId="0" borderId="0" xfId="0" applyFont="1" applyAlignment="1">
      <alignment horizontal="left" vertical="center" wrapText="1"/>
    </xf>
    <xf numFmtId="0" fontId="38" fillId="0" borderId="0" xfId="0" applyFont="1" applyAlignment="1">
      <alignment horizontal="center" vertical="center" wrapText="1"/>
    </xf>
    <xf numFmtId="0" fontId="17" fillId="0" borderId="0" xfId="0" applyFont="1" applyAlignment="1">
      <alignment vertical="center"/>
    </xf>
    <xf numFmtId="0" fontId="44" fillId="0" borderId="0" xfId="0" applyFont="1" applyAlignment="1">
      <alignment horizontal="center" vertical="center"/>
    </xf>
    <xf numFmtId="0" fontId="13" fillId="0" borderId="0" xfId="0" applyFont="1"/>
    <xf numFmtId="0" fontId="33" fillId="18" borderId="42" xfId="0" applyFont="1" applyFill="1" applyBorder="1" applyAlignment="1">
      <alignment horizontal="right"/>
    </xf>
    <xf numFmtId="0" fontId="33" fillId="18" borderId="46" xfId="0" applyFont="1" applyFill="1" applyBorder="1" applyAlignment="1">
      <alignment horizontal="right"/>
    </xf>
    <xf numFmtId="0" fontId="45" fillId="20" borderId="21" xfId="0" applyFont="1" applyFill="1" applyBorder="1" applyAlignment="1">
      <alignment horizontal="center"/>
    </xf>
    <xf numFmtId="0" fontId="17" fillId="0" borderId="47" xfId="0" applyFont="1" applyBorder="1"/>
    <xf numFmtId="0" fontId="33" fillId="19" borderId="48" xfId="0" applyFont="1" applyFill="1" applyBorder="1" applyAlignment="1">
      <alignment horizontal="left" vertical="center" wrapText="1"/>
    </xf>
    <xf numFmtId="0" fontId="33" fillId="19" borderId="49" xfId="0" applyFont="1" applyFill="1" applyBorder="1" applyAlignment="1">
      <alignment horizontal="left" vertical="center" wrapText="1"/>
    </xf>
    <xf numFmtId="0" fontId="33" fillId="19" borderId="10" xfId="0" applyFont="1" applyFill="1" applyBorder="1" applyAlignment="1">
      <alignment horizontal="left" vertical="center" wrapText="1"/>
    </xf>
    <xf numFmtId="0" fontId="44" fillId="0" borderId="0" xfId="0" applyFont="1"/>
    <xf numFmtId="0" fontId="13" fillId="0" borderId="21" xfId="0" applyFont="1" applyBorder="1" applyAlignment="1">
      <alignment horizontal="center"/>
    </xf>
    <xf numFmtId="0" fontId="8" fillId="0" borderId="28" xfId="0" applyFont="1" applyBorder="1"/>
    <xf numFmtId="0" fontId="8" fillId="0" borderId="7" xfId="0" applyFont="1" applyBorder="1"/>
    <xf numFmtId="0" fontId="46" fillId="15" borderId="7" xfId="0" applyFont="1" applyFill="1" applyBorder="1"/>
    <xf numFmtId="0" fontId="30" fillId="0" borderId="6" xfId="0" applyFont="1" applyBorder="1"/>
    <xf numFmtId="0" fontId="30" fillId="0" borderId="7" xfId="0" applyFont="1" applyBorder="1"/>
    <xf numFmtId="0" fontId="31" fillId="22" borderId="42" xfId="0" applyFont="1" applyFill="1" applyBorder="1" applyAlignment="1">
      <alignment horizontal="center" vertical="top" wrapText="1"/>
    </xf>
    <xf numFmtId="0" fontId="31" fillId="22" borderId="33" xfId="0" applyFont="1" applyFill="1" applyBorder="1" applyAlignment="1">
      <alignment horizontal="center" vertical="top" wrapText="1"/>
    </xf>
    <xf numFmtId="0" fontId="31" fillId="22" borderId="55" xfId="0" applyFont="1" applyFill="1" applyBorder="1" applyAlignment="1">
      <alignment horizontal="center" vertical="top" wrapText="1"/>
    </xf>
    <xf numFmtId="0" fontId="8" fillId="0" borderId="0" xfId="0" applyFont="1"/>
    <xf numFmtId="0" fontId="8" fillId="0" borderId="0" xfId="0" applyFont="1" applyAlignment="1">
      <alignment vertical="center"/>
    </xf>
    <xf numFmtId="0" fontId="37" fillId="23" borderId="42" xfId="0" applyFont="1" applyFill="1" applyBorder="1" applyAlignment="1">
      <alignment vertical="center"/>
    </xf>
    <xf numFmtId="0" fontId="37" fillId="24" borderId="33" xfId="0" applyFont="1" applyFill="1" applyBorder="1" applyAlignment="1">
      <alignment horizontal="center" vertical="center"/>
    </xf>
    <xf numFmtId="0" fontId="37" fillId="25" borderId="33" xfId="0" applyFont="1" applyFill="1" applyBorder="1" applyAlignment="1">
      <alignment horizontal="center" vertical="center"/>
    </xf>
    <xf numFmtId="0" fontId="37" fillId="26" borderId="33" xfId="0" applyFont="1" applyFill="1" applyBorder="1" applyAlignment="1">
      <alignment horizontal="center" vertical="center"/>
    </xf>
    <xf numFmtId="0" fontId="37" fillId="27" borderId="33" xfId="0" applyFont="1" applyFill="1" applyBorder="1" applyAlignment="1">
      <alignment horizontal="center" vertical="center"/>
    </xf>
    <xf numFmtId="0" fontId="16" fillId="28" borderId="55" xfId="0" applyFont="1" applyFill="1" applyBorder="1" applyAlignment="1">
      <alignment horizontal="center" vertical="center"/>
    </xf>
    <xf numFmtId="0" fontId="44" fillId="0" borderId="0" xfId="0" applyFont="1" applyAlignment="1">
      <alignment vertical="center"/>
    </xf>
    <xf numFmtId="0" fontId="48" fillId="29" borderId="46" xfId="0" applyFont="1" applyFill="1" applyBorder="1" applyAlignment="1">
      <alignment horizontal="center"/>
    </xf>
    <xf numFmtId="0" fontId="48" fillId="29" borderId="56" xfId="0" applyFont="1" applyFill="1" applyBorder="1" applyAlignment="1">
      <alignment horizontal="center"/>
    </xf>
    <xf numFmtId="0" fontId="48" fillId="29" borderId="56" xfId="0" applyFont="1" applyFill="1" applyBorder="1" applyAlignment="1">
      <alignment horizontal="center" wrapText="1"/>
    </xf>
    <xf numFmtId="0" fontId="48" fillId="29" borderId="14" xfId="0" applyFont="1" applyFill="1" applyBorder="1" applyAlignment="1">
      <alignment horizontal="center"/>
    </xf>
    <xf numFmtId="0" fontId="13" fillId="0" borderId="0" xfId="0" applyFont="1" applyAlignment="1">
      <alignment horizontal="right"/>
    </xf>
    <xf numFmtId="0" fontId="13" fillId="0" borderId="0" xfId="0" applyFont="1" applyAlignment="1">
      <alignment vertical="top"/>
    </xf>
    <xf numFmtId="0" fontId="33" fillId="30" borderId="21" xfId="0" applyFont="1" applyFill="1" applyBorder="1" applyAlignment="1">
      <alignment horizontal="center" vertical="top" wrapText="1"/>
    </xf>
    <xf numFmtId="0" fontId="37" fillId="31" borderId="21" xfId="0" applyFont="1" applyFill="1" applyBorder="1" applyAlignment="1">
      <alignment horizontal="center" vertical="top"/>
    </xf>
    <xf numFmtId="0" fontId="16" fillId="33" borderId="63" xfId="0" applyFont="1" applyFill="1" applyBorder="1" applyAlignment="1">
      <alignment horizontal="left" vertical="top" wrapText="1"/>
    </xf>
    <xf numFmtId="0" fontId="17" fillId="33" borderId="64" xfId="0" applyFont="1" applyFill="1" applyBorder="1" applyAlignment="1">
      <alignment horizontal="left"/>
    </xf>
    <xf numFmtId="0" fontId="15" fillId="33" borderId="63" xfId="0" applyFont="1" applyFill="1" applyBorder="1" applyAlignment="1">
      <alignment horizontal="left" vertical="center"/>
    </xf>
    <xf numFmtId="0" fontId="17" fillId="0" borderId="31" xfId="0" applyFont="1" applyBorder="1"/>
    <xf numFmtId="0" fontId="15" fillId="33" borderId="65" xfId="0" applyFont="1" applyFill="1" applyBorder="1" applyAlignment="1">
      <alignment horizontal="left" vertical="center"/>
    </xf>
    <xf numFmtId="0" fontId="17" fillId="33" borderId="66" xfId="0" applyFont="1" applyFill="1" applyBorder="1" applyAlignment="1">
      <alignment horizontal="left"/>
    </xf>
    <xf numFmtId="0" fontId="15" fillId="33" borderId="48" xfId="0" applyFont="1" applyFill="1" applyBorder="1" applyAlignment="1">
      <alignment horizontal="left" vertical="center"/>
    </xf>
    <xf numFmtId="0" fontId="17" fillId="33" borderId="14" xfId="0" applyFont="1" applyFill="1" applyBorder="1" applyAlignment="1">
      <alignment horizontal="left"/>
    </xf>
    <xf numFmtId="0" fontId="15" fillId="16" borderId="1" xfId="0" applyFont="1" applyFill="1" applyBorder="1" applyAlignment="1">
      <alignment horizontal="left" vertical="center"/>
    </xf>
    <xf numFmtId="0" fontId="17" fillId="16" borderId="1" xfId="0" applyFont="1" applyFill="1" applyBorder="1"/>
    <xf numFmtId="0" fontId="15" fillId="33" borderId="67" xfId="0" applyFont="1" applyFill="1" applyBorder="1" applyAlignment="1">
      <alignment horizontal="left" vertical="center"/>
    </xf>
    <xf numFmtId="0" fontId="15" fillId="16" borderId="1" xfId="0" applyFont="1" applyFill="1" applyBorder="1" applyAlignment="1">
      <alignment vertical="center" wrapText="1"/>
    </xf>
    <xf numFmtId="0" fontId="17" fillId="16" borderId="1" xfId="0" applyFont="1" applyFill="1" applyBorder="1" applyAlignment="1">
      <alignment vertical="center" wrapText="1"/>
    </xf>
    <xf numFmtId="0" fontId="17" fillId="0" borderId="0" xfId="0" applyFont="1" applyAlignment="1">
      <alignment vertical="center" wrapText="1"/>
    </xf>
    <xf numFmtId="0" fontId="50" fillId="33" borderId="63" xfId="0" applyFont="1" applyFill="1" applyBorder="1" applyAlignment="1">
      <alignment vertical="center" wrapText="1"/>
    </xf>
    <xf numFmtId="0" fontId="50" fillId="33" borderId="64" xfId="0" applyFont="1" applyFill="1" applyBorder="1" applyAlignment="1">
      <alignment vertical="center"/>
    </xf>
    <xf numFmtId="0" fontId="16" fillId="33" borderId="63" xfId="0" applyFont="1" applyFill="1" applyBorder="1" applyAlignment="1">
      <alignment vertical="top" wrapText="1"/>
    </xf>
    <xf numFmtId="0" fontId="17" fillId="33" borderId="64" xfId="0" applyFont="1" applyFill="1" applyBorder="1"/>
    <xf numFmtId="0" fontId="15" fillId="33" borderId="63" xfId="0" applyFont="1" applyFill="1" applyBorder="1" applyAlignment="1">
      <alignment vertical="center"/>
    </xf>
    <xf numFmtId="0" fontId="51" fillId="34" borderId="68" xfId="0" applyFont="1" applyFill="1" applyBorder="1" applyAlignment="1">
      <alignment horizontal="center" vertical="center"/>
    </xf>
    <xf numFmtId="0" fontId="17" fillId="33" borderId="14" xfId="0" applyFont="1" applyFill="1" applyBorder="1"/>
    <xf numFmtId="0" fontId="17" fillId="16" borderId="69" xfId="0" applyFont="1" applyFill="1" applyBorder="1"/>
    <xf numFmtId="0" fontId="17" fillId="34" borderId="1" xfId="0" applyFont="1" applyFill="1" applyBorder="1"/>
    <xf numFmtId="0" fontId="17" fillId="0" borderId="0" xfId="0" applyFont="1" applyAlignment="1">
      <alignment horizontal="center"/>
    </xf>
    <xf numFmtId="0" fontId="53" fillId="0" borderId="0" xfId="0" applyFont="1" applyAlignment="1">
      <alignment horizontal="center" vertical="center"/>
    </xf>
    <xf numFmtId="0" fontId="53" fillId="36" borderId="21" xfId="0" applyFont="1" applyFill="1" applyBorder="1" applyAlignment="1">
      <alignment horizontal="center" vertical="center"/>
    </xf>
    <xf numFmtId="0" fontId="53" fillId="36" borderId="70" xfId="0" applyFont="1" applyFill="1" applyBorder="1" applyAlignment="1">
      <alignment horizontal="center" vertical="center"/>
    </xf>
    <xf numFmtId="0" fontId="17" fillId="0" borderId="21" xfId="0" applyFont="1" applyBorder="1" applyAlignment="1">
      <alignment horizontal="center" vertical="center"/>
    </xf>
    <xf numFmtId="0" fontId="3" fillId="0" borderId="21" xfId="0" applyFont="1" applyBorder="1" applyAlignment="1">
      <alignment vertical="center"/>
    </xf>
    <xf numFmtId="0" fontId="17" fillId="0" borderId="21" xfId="0" applyFont="1" applyBorder="1" applyAlignment="1">
      <alignment vertical="center"/>
    </xf>
    <xf numFmtId="0" fontId="3" fillId="0" borderId="21" xfId="0" applyFont="1" applyBorder="1" applyAlignment="1">
      <alignment horizontal="left" vertical="center"/>
    </xf>
    <xf numFmtId="0" fontId="17" fillId="0" borderId="21" xfId="0" applyFont="1" applyBorder="1" applyAlignment="1">
      <alignment horizontal="left" vertical="center"/>
    </xf>
    <xf numFmtId="0" fontId="3" fillId="0" borderId="0" xfId="0" applyFont="1" applyAlignment="1">
      <alignment horizontal="center" vertical="center"/>
    </xf>
    <xf numFmtId="0" fontId="17" fillId="0" borderId="0" xfId="0" applyFont="1"/>
    <xf numFmtId="0" fontId="9" fillId="0" borderId="0" xfId="0" applyFont="1" applyAlignment="1">
      <alignment horizontal="center" vertical="center" wrapText="1"/>
    </xf>
    <xf numFmtId="0" fontId="14" fillId="0" borderId="21" xfId="0" applyFont="1" applyBorder="1" applyAlignment="1">
      <alignment horizontal="center" vertical="center" wrapText="1"/>
    </xf>
    <xf numFmtId="0" fontId="18" fillId="0" borderId="0" xfId="0" applyFont="1" applyAlignment="1">
      <alignment horizontal="left" wrapText="1"/>
    </xf>
    <xf numFmtId="0" fontId="0" fillId="0" borderId="0" xfId="0" applyAlignment="1">
      <alignment wrapText="1"/>
    </xf>
    <xf numFmtId="0" fontId="18" fillId="12" borderId="1" xfId="0" applyFont="1" applyFill="1" applyBorder="1" applyAlignment="1">
      <alignment horizontal="left" wrapText="1"/>
    </xf>
    <xf numFmtId="0" fontId="24" fillId="0" borderId="0" xfId="0" applyFont="1" applyAlignment="1">
      <alignment horizontal="left" wrapText="1"/>
    </xf>
    <xf numFmtId="0" fontId="29" fillId="14" borderId="20" xfId="0" applyFont="1" applyFill="1" applyBorder="1" applyAlignment="1">
      <alignment horizontal="center" vertical="center" wrapText="1"/>
    </xf>
    <xf numFmtId="0" fontId="16" fillId="15" borderId="22" xfId="0" applyFont="1" applyFill="1" applyBorder="1" applyAlignment="1">
      <alignment horizontal="left" vertical="center" wrapText="1"/>
    </xf>
    <xf numFmtId="0" fontId="9" fillId="0" borderId="21" xfId="0" applyFont="1" applyBorder="1" applyAlignment="1">
      <alignment vertical="center" wrapText="1"/>
    </xf>
    <xf numFmtId="0" fontId="32" fillId="15" borderId="21" xfId="0" applyFont="1" applyFill="1" applyBorder="1" applyAlignment="1">
      <alignment wrapText="1"/>
    </xf>
    <xf numFmtId="0" fontId="36" fillId="15" borderId="21" xfId="0" applyFont="1" applyFill="1" applyBorder="1" applyAlignment="1">
      <alignment horizontal="left" vertical="center" wrapText="1"/>
    </xf>
    <xf numFmtId="0" fontId="17" fillId="0" borderId="21" xfId="0" applyFont="1" applyBorder="1" applyAlignment="1">
      <alignment wrapText="1"/>
    </xf>
    <xf numFmtId="0" fontId="40" fillId="0" borderId="26" xfId="0" applyFont="1" applyBorder="1" applyAlignment="1">
      <alignment horizontal="left" wrapText="1"/>
    </xf>
    <xf numFmtId="0" fontId="9" fillId="0" borderId="27" xfId="0" applyFont="1" applyBorder="1" applyAlignment="1">
      <alignment horizontal="center" vertical="center" wrapText="1"/>
    </xf>
    <xf numFmtId="0" fontId="42" fillId="15" borderId="21" xfId="0" applyFont="1" applyFill="1" applyBorder="1" applyAlignment="1">
      <alignment horizontal="left" vertical="center" wrapText="1"/>
    </xf>
    <xf numFmtId="0" fontId="37" fillId="0" borderId="5" xfId="0" applyFont="1" applyBorder="1" applyAlignment="1">
      <alignment horizontal="left" vertical="center" wrapText="1"/>
    </xf>
    <xf numFmtId="0" fontId="16" fillId="15" borderId="1" xfId="0" applyFont="1" applyFill="1" applyBorder="1" applyAlignment="1">
      <alignment horizontal="left" vertical="center" wrapText="1"/>
    </xf>
    <xf numFmtId="0" fontId="42" fillId="15" borderId="1" xfId="0" applyFont="1" applyFill="1" applyBorder="1" applyAlignment="1">
      <alignment horizontal="left" vertical="center" wrapText="1"/>
    </xf>
    <xf numFmtId="0" fontId="40" fillId="0" borderId="6" xfId="0" applyFont="1" applyBorder="1" applyAlignment="1">
      <alignment horizontal="left" wrapText="1"/>
    </xf>
    <xf numFmtId="0" fontId="40" fillId="0" borderId="7" xfId="0" applyFont="1" applyBorder="1" applyAlignment="1">
      <alignment horizontal="left" wrapText="1"/>
    </xf>
    <xf numFmtId="0" fontId="37" fillId="0" borderId="28" xfId="0" applyFont="1" applyBorder="1" applyAlignment="1">
      <alignment horizontal="left" vertical="center" wrapText="1"/>
    </xf>
    <xf numFmtId="0" fontId="40" fillId="15" borderId="20" xfId="0" applyFont="1" applyFill="1" applyBorder="1" applyAlignment="1">
      <alignment horizontal="left" wrapText="1"/>
    </xf>
    <xf numFmtId="0" fontId="37" fillId="15" borderId="32" xfId="0" applyFont="1" applyFill="1" applyBorder="1" applyAlignment="1">
      <alignment horizontal="left" vertical="center" wrapText="1"/>
    </xf>
    <xf numFmtId="0" fontId="18" fillId="15" borderId="1" xfId="0" applyFont="1" applyFill="1" applyBorder="1" applyAlignment="1">
      <alignment wrapText="1"/>
    </xf>
    <xf numFmtId="0" fontId="40" fillId="0" borderId="7" xfId="0" applyFont="1" applyBorder="1" applyAlignment="1">
      <alignment wrapText="1"/>
    </xf>
    <xf numFmtId="0" fontId="22" fillId="0" borderId="7" xfId="0" applyFont="1" applyBorder="1" applyAlignment="1">
      <alignment wrapText="1"/>
    </xf>
    <xf numFmtId="0" fontId="40" fillId="0" borderId="0" xfId="0" applyFont="1" applyAlignment="1">
      <alignment horizontal="left" wrapText="1"/>
    </xf>
    <xf numFmtId="0" fontId="40" fillId="0" borderId="0" xfId="0" applyFont="1" applyAlignment="1">
      <alignment wrapText="1"/>
    </xf>
    <xf numFmtId="0" fontId="22" fillId="0" borderId="0" xfId="0" applyFont="1" applyAlignment="1">
      <alignment wrapText="1"/>
    </xf>
    <xf numFmtId="0" fontId="22" fillId="0" borderId="0" xfId="0" applyFont="1" applyAlignment="1">
      <alignment vertical="center" wrapText="1"/>
    </xf>
    <xf numFmtId="0" fontId="16" fillId="0" borderId="0" xfId="0" applyFont="1" applyAlignment="1">
      <alignment wrapText="1"/>
    </xf>
    <xf numFmtId="0" fontId="27" fillId="37" borderId="76" xfId="0" applyFont="1" applyFill="1" applyBorder="1" applyAlignment="1">
      <alignment horizontal="center" vertical="center" wrapText="1"/>
    </xf>
    <xf numFmtId="0" fontId="29" fillId="37" borderId="76" xfId="0" applyFont="1" applyFill="1" applyBorder="1" applyAlignment="1">
      <alignment horizontal="center" vertical="center" wrapText="1"/>
    </xf>
    <xf numFmtId="0" fontId="0" fillId="38" borderId="76" xfId="0" applyFill="1" applyBorder="1" applyAlignment="1">
      <alignment wrapText="1"/>
    </xf>
    <xf numFmtId="0" fontId="9" fillId="0" borderId="10" xfId="0" applyFont="1" applyBorder="1" applyAlignment="1">
      <alignment horizontal="center" vertical="center" wrapText="1"/>
    </xf>
    <xf numFmtId="0" fontId="14" fillId="0" borderId="21" xfId="0" applyFont="1" applyBorder="1" applyAlignment="1">
      <alignment horizontal="center" vertical="top" wrapText="1"/>
    </xf>
    <xf numFmtId="0" fontId="14" fillId="0" borderId="21" xfId="0" applyFont="1" applyBorder="1" applyAlignment="1">
      <alignment horizontal="left" vertical="center" wrapText="1"/>
    </xf>
    <xf numFmtId="0" fontId="9" fillId="0" borderId="72" xfId="0" applyFont="1" applyBorder="1" applyAlignment="1">
      <alignment horizontal="center" vertical="center" wrapText="1"/>
    </xf>
    <xf numFmtId="0" fontId="14" fillId="15" borderId="73" xfId="0" applyFont="1" applyFill="1" applyBorder="1" applyAlignment="1">
      <alignment horizontal="center" vertical="center" wrapText="1"/>
    </xf>
    <xf numFmtId="0" fontId="9" fillId="0" borderId="45" xfId="0" applyFont="1" applyBorder="1" applyAlignment="1">
      <alignment horizontal="center" vertical="center" wrapText="1"/>
    </xf>
    <xf numFmtId="14" fontId="14" fillId="0" borderId="9" xfId="0" applyNumberFormat="1" applyFont="1" applyBorder="1" applyAlignment="1">
      <alignment horizontal="center" vertical="center" wrapText="1"/>
    </xf>
    <xf numFmtId="14" fontId="14" fillId="0" borderId="13" xfId="0" applyNumberFormat="1" applyFont="1" applyBorder="1" applyAlignment="1">
      <alignment horizontal="center" vertical="center" wrapText="1"/>
    </xf>
    <xf numFmtId="0" fontId="14" fillId="0" borderId="13" xfId="0" applyFont="1" applyBorder="1" applyAlignment="1">
      <alignment horizontal="center" vertical="center" wrapText="1"/>
    </xf>
    <xf numFmtId="0" fontId="14" fillId="0" borderId="0" xfId="0" applyFont="1" applyAlignment="1">
      <alignment horizontal="left" vertical="center" wrapText="1"/>
    </xf>
    <xf numFmtId="0" fontId="56" fillId="14" borderId="20" xfId="0" applyFont="1" applyFill="1" applyBorder="1" applyAlignment="1">
      <alignment horizontal="center" vertical="center" wrapText="1"/>
    </xf>
    <xf numFmtId="0" fontId="9" fillId="0" borderId="21" xfId="0" applyFont="1" applyBorder="1" applyAlignment="1">
      <alignment horizontal="center" vertical="center" wrapText="1"/>
    </xf>
    <xf numFmtId="0" fontId="14" fillId="0" borderId="6" xfId="0" applyFont="1" applyBorder="1" applyAlignment="1">
      <alignment horizontal="left" vertical="center" wrapText="1"/>
    </xf>
    <xf numFmtId="0" fontId="14" fillId="0" borderId="29" xfId="0" applyFont="1" applyBorder="1" applyAlignment="1">
      <alignment horizontal="left" vertical="center" wrapText="1"/>
    </xf>
    <xf numFmtId="0" fontId="14" fillId="15" borderId="7"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14" fillId="15" borderId="35" xfId="0" applyFont="1" applyFill="1" applyBorder="1" applyAlignment="1">
      <alignment horizontal="left" vertical="center" wrapText="1"/>
    </xf>
    <xf numFmtId="0" fontId="9" fillId="0" borderId="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9" fillId="0" borderId="6" xfId="0" applyFont="1" applyBorder="1" applyAlignment="1">
      <alignment horizontal="left" vertical="center" wrapText="1"/>
    </xf>
    <xf numFmtId="0" fontId="14" fillId="15" borderId="20" xfId="0" applyFont="1" applyFill="1" applyBorder="1" applyAlignment="1">
      <alignment horizontal="left" vertical="center" wrapText="1"/>
    </xf>
    <xf numFmtId="0" fontId="9" fillId="0" borderId="39" xfId="0" applyFont="1" applyBorder="1" applyAlignment="1">
      <alignment horizontal="left" vertical="center" wrapText="1"/>
    </xf>
    <xf numFmtId="0" fontId="8" fillId="0" borderId="0" xfId="0" applyFont="1" applyAlignment="1">
      <alignment wrapText="1"/>
    </xf>
    <xf numFmtId="0" fontId="58" fillId="6" borderId="10" xfId="0" applyFont="1" applyFill="1" applyBorder="1" applyAlignment="1">
      <alignment horizontal="center" vertical="center" wrapText="1"/>
    </xf>
    <xf numFmtId="0" fontId="58" fillId="6" borderId="14" xfId="0" applyFont="1" applyFill="1" applyBorder="1" applyAlignment="1">
      <alignment horizontal="center" vertical="center" wrapText="1"/>
    </xf>
    <xf numFmtId="0" fontId="14" fillId="0" borderId="0" xfId="0" applyFont="1" applyAlignment="1">
      <alignment horizontal="left" wrapText="1"/>
    </xf>
    <xf numFmtId="0" fontId="14" fillId="15" borderId="32" xfId="0" applyFont="1" applyFill="1" applyBorder="1" applyAlignment="1">
      <alignment horizontal="left" vertical="center" wrapText="1"/>
    </xf>
    <xf numFmtId="0" fontId="14" fillId="15" borderId="33" xfId="0" applyFont="1" applyFill="1" applyBorder="1" applyAlignment="1">
      <alignment horizontal="left" vertical="center" wrapText="1"/>
    </xf>
    <xf numFmtId="0" fontId="14" fillId="0" borderId="39" xfId="0" applyFont="1" applyBorder="1" applyAlignment="1">
      <alignment horizontal="left" vertical="center" wrapText="1"/>
    </xf>
    <xf numFmtId="0" fontId="9" fillId="0" borderId="0" xfId="0" applyFont="1" applyAlignment="1">
      <alignment horizontal="left" wrapText="1"/>
    </xf>
    <xf numFmtId="0" fontId="14" fillId="0" borderId="0" xfId="0" applyFont="1" applyAlignment="1">
      <alignment horizontal="center" vertical="center" wrapText="1"/>
    </xf>
    <xf numFmtId="0" fontId="60" fillId="15" borderId="35" xfId="0" applyFont="1" applyFill="1" applyBorder="1" applyAlignment="1">
      <alignment horizontal="center" vertical="center" wrapText="1"/>
    </xf>
    <xf numFmtId="0" fontId="9" fillId="0" borderId="39"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29" xfId="0" applyFont="1" applyBorder="1" applyAlignment="1">
      <alignment horizontal="center" vertical="center" wrapText="1"/>
    </xf>
    <xf numFmtId="0" fontId="9" fillId="15" borderId="20" xfId="0" applyFont="1" applyFill="1" applyBorder="1" applyAlignment="1">
      <alignment horizontal="center" vertical="center" wrapText="1"/>
    </xf>
    <xf numFmtId="0" fontId="14" fillId="0" borderId="10" xfId="0" applyFont="1" applyBorder="1" applyAlignment="1">
      <alignment horizontal="left" vertical="center" wrapText="1"/>
    </xf>
    <xf numFmtId="0" fontId="14" fillId="15" borderId="10" xfId="0" applyFont="1" applyFill="1" applyBorder="1" applyAlignment="1">
      <alignment horizontal="left" vertical="center" wrapText="1"/>
    </xf>
    <xf numFmtId="0" fontId="14" fillId="0" borderId="33" xfId="0" applyFont="1" applyBorder="1" applyAlignment="1">
      <alignment horizontal="left" vertical="center" wrapText="1"/>
    </xf>
    <xf numFmtId="0" fontId="14" fillId="0" borderId="35" xfId="0" applyFont="1" applyBorder="1" applyAlignment="1">
      <alignment horizontal="left" vertical="center" wrapText="1"/>
    </xf>
    <xf numFmtId="0" fontId="14" fillId="0" borderId="37" xfId="0" applyFont="1" applyBorder="1" applyAlignment="1">
      <alignment horizontal="left" vertical="center" wrapText="1"/>
    </xf>
    <xf numFmtId="0" fontId="14" fillId="15" borderId="65" xfId="0" applyFont="1" applyFill="1" applyBorder="1" applyAlignment="1">
      <alignment horizontal="left" vertical="center" wrapText="1"/>
    </xf>
    <xf numFmtId="0" fontId="14" fillId="15" borderId="69" xfId="0" applyFont="1" applyFill="1" applyBorder="1" applyAlignment="1">
      <alignment horizontal="center" vertical="center" wrapText="1"/>
    </xf>
    <xf numFmtId="0" fontId="9" fillId="0" borderId="81" xfId="0" applyFont="1" applyBorder="1" applyAlignment="1">
      <alignment horizontal="center" vertical="center" wrapText="1"/>
    </xf>
    <xf numFmtId="0" fontId="14" fillId="0" borderId="81" xfId="0" applyFont="1" applyBorder="1" applyAlignment="1">
      <alignment horizontal="center" vertical="center" wrapText="1"/>
    </xf>
    <xf numFmtId="49" fontId="18" fillId="0" borderId="21" xfId="0" applyNumberFormat="1" applyFont="1" applyBorder="1" applyAlignment="1">
      <alignment horizontal="center" vertical="center" wrapText="1"/>
    </xf>
    <xf numFmtId="49" fontId="16" fillId="0" borderId="9" xfId="0" applyNumberFormat="1" applyFont="1" applyBorder="1" applyAlignment="1">
      <alignment horizontal="center" vertical="center" wrapText="1"/>
    </xf>
    <xf numFmtId="49" fontId="16" fillId="0" borderId="13" xfId="0" applyNumberFormat="1" applyFont="1" applyBorder="1" applyAlignment="1">
      <alignment horizontal="center" vertical="center" wrapText="1"/>
    </xf>
    <xf numFmtId="49" fontId="24" fillId="0" borderId="0" xfId="0" applyNumberFormat="1" applyFont="1" applyAlignment="1">
      <alignment horizontal="center" vertical="center" wrapText="1"/>
    </xf>
    <xf numFmtId="49" fontId="26" fillId="14" borderId="20" xfId="0" applyNumberFormat="1" applyFont="1" applyFill="1" applyBorder="1" applyAlignment="1">
      <alignment horizontal="center" vertical="center" wrapText="1"/>
    </xf>
    <xf numFmtId="49" fontId="8" fillId="15" borderId="21" xfId="0" applyNumberFormat="1" applyFont="1" applyFill="1" applyBorder="1" applyAlignment="1">
      <alignment horizontal="center" vertical="center" wrapText="1"/>
    </xf>
    <xf numFmtId="49" fontId="16" fillId="0" borderId="21" xfId="0" applyNumberFormat="1" applyFont="1" applyBorder="1" applyAlignment="1">
      <alignment horizontal="center" vertical="center" wrapText="1"/>
    </xf>
    <xf numFmtId="49" fontId="54" fillId="0" borderId="21" xfId="1" applyNumberFormat="1" applyBorder="1" applyAlignment="1">
      <alignment horizontal="center" vertical="center" wrapText="1"/>
    </xf>
    <xf numFmtId="49" fontId="55" fillId="0" borderId="21" xfId="1" applyNumberFormat="1" applyFont="1" applyBorder="1" applyAlignment="1">
      <alignment horizontal="center" vertical="center" wrapText="1"/>
    </xf>
    <xf numFmtId="49" fontId="37" fillId="0" borderId="21" xfId="0" applyNumberFormat="1" applyFont="1" applyBorder="1" applyAlignment="1">
      <alignment horizontal="center" vertical="center" wrapText="1"/>
    </xf>
    <xf numFmtId="49" fontId="16" fillId="0" borderId="6" xfId="0" applyNumberFormat="1" applyFont="1" applyBorder="1" applyAlignment="1">
      <alignment horizontal="center" vertical="center" wrapText="1"/>
    </xf>
    <xf numFmtId="49" fontId="16" fillId="0" borderId="0" xfId="0" applyNumberFormat="1" applyFont="1" applyAlignment="1">
      <alignment horizontal="center" vertical="center" wrapText="1"/>
    </xf>
    <xf numFmtId="49" fontId="16" fillId="0" borderId="7" xfId="0" applyNumberFormat="1" applyFont="1" applyBorder="1" applyAlignment="1">
      <alignment horizontal="center" vertical="center" wrapText="1"/>
    </xf>
    <xf numFmtId="49" fontId="16" fillId="0" borderId="28" xfId="0" applyNumberFormat="1" applyFont="1" applyBorder="1" applyAlignment="1">
      <alignment horizontal="center" vertical="center" wrapText="1"/>
    </xf>
    <xf numFmtId="49" fontId="37" fillId="0" borderId="7" xfId="0" applyNumberFormat="1" applyFont="1" applyBorder="1" applyAlignment="1">
      <alignment horizontal="center" vertical="center" wrapText="1"/>
    </xf>
    <xf numFmtId="49" fontId="16" fillId="15" borderId="7" xfId="0" applyNumberFormat="1" applyFont="1" applyFill="1" applyBorder="1" applyAlignment="1">
      <alignment horizontal="center" vertical="center" wrapText="1"/>
    </xf>
    <xf numFmtId="49" fontId="37" fillId="0" borderId="36" xfId="0" applyNumberFormat="1" applyFont="1" applyBorder="1" applyAlignment="1">
      <alignment horizontal="center" vertical="center" wrapText="1"/>
    </xf>
    <xf numFmtId="49" fontId="16" fillId="15" borderId="20" xfId="0" applyNumberFormat="1" applyFont="1" applyFill="1" applyBorder="1" applyAlignment="1">
      <alignment horizontal="center" vertical="center" wrapText="1"/>
    </xf>
    <xf numFmtId="49" fontId="16" fillId="15" borderId="40" xfId="0" applyNumberFormat="1" applyFont="1" applyFill="1" applyBorder="1" applyAlignment="1">
      <alignment horizontal="center" vertical="center" wrapText="1"/>
    </xf>
    <xf numFmtId="49" fontId="16" fillId="0" borderId="29" xfId="0" applyNumberFormat="1" applyFont="1" applyBorder="1" applyAlignment="1">
      <alignment horizontal="center" vertical="center" wrapText="1"/>
    </xf>
    <xf numFmtId="49" fontId="16" fillId="0" borderId="39" xfId="0" applyNumberFormat="1" applyFont="1" applyBorder="1" applyAlignment="1">
      <alignment horizontal="center" vertical="center" wrapText="1"/>
    </xf>
    <xf numFmtId="49" fontId="37" fillId="0" borderId="29" xfId="0" applyNumberFormat="1" applyFont="1" applyBorder="1" applyAlignment="1">
      <alignment horizontal="center" vertical="center" wrapText="1"/>
    </xf>
    <xf numFmtId="49" fontId="37" fillId="0" borderId="6" xfId="0" applyNumberFormat="1" applyFont="1" applyBorder="1" applyAlignment="1">
      <alignment horizontal="center" vertical="center" wrapText="1"/>
    </xf>
    <xf numFmtId="49" fontId="37" fillId="0" borderId="0" xfId="0" applyNumberFormat="1" applyFont="1" applyAlignment="1">
      <alignment horizontal="center" vertical="center" wrapText="1"/>
    </xf>
    <xf numFmtId="49" fontId="40" fillId="0" borderId="0" xfId="0" applyNumberFormat="1" applyFont="1" applyAlignment="1">
      <alignment horizontal="center" vertical="center" wrapText="1"/>
    </xf>
    <xf numFmtId="49" fontId="0" fillId="0" borderId="0" xfId="0" applyNumberFormat="1" applyAlignment="1">
      <alignment horizontal="center" vertical="center" wrapText="1"/>
    </xf>
    <xf numFmtId="0" fontId="18" fillId="0" borderId="21" xfId="0" applyFont="1" applyBorder="1" applyAlignment="1">
      <alignment vertical="center" wrapText="1"/>
    </xf>
    <xf numFmtId="0" fontId="0" fillId="0" borderId="0" xfId="0" applyAlignment="1">
      <alignment vertical="center" wrapText="1"/>
    </xf>
    <xf numFmtId="0" fontId="17" fillId="12" borderId="1" xfId="0" applyFont="1" applyFill="1" applyBorder="1" applyAlignment="1">
      <alignment vertical="center" wrapText="1"/>
    </xf>
    <xf numFmtId="0" fontId="28" fillId="14" borderId="20" xfId="0" applyFont="1" applyFill="1" applyBorder="1" applyAlignment="1">
      <alignment vertical="center" wrapText="1"/>
    </xf>
    <xf numFmtId="0" fontId="34" fillId="15" borderId="21" xfId="0" applyFont="1" applyFill="1" applyBorder="1" applyAlignment="1">
      <alignment vertical="center" wrapText="1"/>
    </xf>
    <xf numFmtId="0" fontId="17" fillId="0" borderId="21" xfId="0" applyFont="1" applyBorder="1" applyAlignment="1">
      <alignment vertical="center" wrapText="1"/>
    </xf>
    <xf numFmtId="0" fontId="41" fillId="0" borderId="21" xfId="0" applyFont="1" applyBorder="1" applyAlignment="1">
      <alignment vertical="center" wrapText="1"/>
    </xf>
    <xf numFmtId="0" fontId="17" fillId="0" borderId="6" xfId="0" applyFont="1" applyBorder="1" applyAlignment="1">
      <alignment vertical="center" wrapText="1"/>
    </xf>
    <xf numFmtId="0" fontId="17" fillId="0" borderId="7" xfId="0" applyFont="1" applyBorder="1" applyAlignment="1">
      <alignment vertical="center" wrapText="1"/>
    </xf>
    <xf numFmtId="0" fontId="17" fillId="0" borderId="28" xfId="0" applyFont="1" applyBorder="1" applyAlignment="1">
      <alignment vertical="center" wrapText="1"/>
    </xf>
    <xf numFmtId="0" fontId="41" fillId="0" borderId="7" xfId="0" applyFont="1" applyBorder="1" applyAlignment="1">
      <alignment vertical="center" wrapText="1"/>
    </xf>
    <xf numFmtId="0" fontId="17" fillId="15" borderId="7" xfId="0" applyFont="1" applyFill="1" applyBorder="1" applyAlignment="1">
      <alignment vertical="center" wrapText="1"/>
    </xf>
    <xf numFmtId="0" fontId="41" fillId="0" borderId="36" xfId="0" applyFont="1" applyBorder="1" applyAlignment="1">
      <alignment vertical="center" wrapText="1"/>
    </xf>
    <xf numFmtId="0" fontId="17" fillId="15" borderId="20" xfId="0" applyFont="1" applyFill="1" applyBorder="1" applyAlignment="1">
      <alignment vertical="center" wrapText="1"/>
    </xf>
    <xf numFmtId="0" fontId="17" fillId="15" borderId="40" xfId="0" applyFont="1" applyFill="1" applyBorder="1" applyAlignment="1">
      <alignment vertical="center" wrapText="1"/>
    </xf>
    <xf numFmtId="0" fontId="17" fillId="0" borderId="29" xfId="0" applyFont="1" applyBorder="1" applyAlignment="1">
      <alignment vertical="center" wrapText="1"/>
    </xf>
    <xf numFmtId="0" fontId="17" fillId="0" borderId="39" xfId="0" applyFont="1" applyBorder="1" applyAlignment="1">
      <alignment vertical="center" wrapText="1"/>
    </xf>
    <xf numFmtId="0" fontId="41" fillId="0" borderId="29" xfId="0" applyFont="1" applyBorder="1" applyAlignment="1">
      <alignment vertical="center" wrapText="1"/>
    </xf>
    <xf numFmtId="0" fontId="41" fillId="0" borderId="6" xfId="0" applyFont="1" applyBorder="1" applyAlignment="1">
      <alignment vertical="center" wrapText="1"/>
    </xf>
    <xf numFmtId="0" fontId="41" fillId="0" borderId="0" xfId="0" applyFont="1" applyAlignment="1">
      <alignment vertical="center" wrapText="1"/>
    </xf>
    <xf numFmtId="0" fontId="54" fillId="34" borderId="1" xfId="1" applyFill="1" applyBorder="1" applyAlignment="1">
      <alignment horizontal="left" vertical="center"/>
    </xf>
    <xf numFmtId="0" fontId="14" fillId="0" borderId="10" xfId="0" applyFont="1" applyBorder="1" applyAlignment="1">
      <alignment horizontal="center" vertical="center" wrapText="1"/>
    </xf>
    <xf numFmtId="49" fontId="18" fillId="0" borderId="8" xfId="0" applyNumberFormat="1" applyFont="1" applyBorder="1" applyAlignment="1">
      <alignment horizontal="center" vertical="center" wrapText="1"/>
    </xf>
    <xf numFmtId="0" fontId="9" fillId="0" borderId="10" xfId="0" applyFont="1" applyBorder="1" applyAlignment="1">
      <alignment vertical="center" wrapText="1"/>
    </xf>
    <xf numFmtId="0" fontId="54" fillId="0" borderId="24" xfId="1" applyBorder="1" applyAlignment="1">
      <alignment vertical="center" wrapText="1"/>
    </xf>
    <xf numFmtId="49" fontId="54" fillId="0" borderId="8" xfId="1" applyNumberFormat="1" applyBorder="1" applyAlignment="1">
      <alignment horizontal="center" vertical="center" wrapText="1"/>
    </xf>
    <xf numFmtId="0" fontId="17" fillId="0" borderId="70" xfId="0" applyFont="1" applyBorder="1" applyAlignment="1">
      <alignment vertical="center" wrapText="1"/>
    </xf>
    <xf numFmtId="0" fontId="54" fillId="0" borderId="88" xfId="1" applyFill="1" applyBorder="1" applyAlignment="1">
      <alignment vertical="center"/>
    </xf>
    <xf numFmtId="0" fontId="54" fillId="0" borderId="0" xfId="1"/>
    <xf numFmtId="0" fontId="9" fillId="0" borderId="66" xfId="0" applyFont="1" applyBorder="1" applyAlignment="1">
      <alignment horizontal="center" vertical="center" wrapText="1"/>
    </xf>
    <xf numFmtId="0" fontId="9" fillId="0" borderId="88" xfId="0" applyFont="1" applyBorder="1" applyAlignment="1">
      <alignment horizontal="center" vertical="center" wrapText="1"/>
    </xf>
    <xf numFmtId="0" fontId="63" fillId="0" borderId="0" xfId="0" applyFont="1" applyAlignment="1">
      <alignment horizontal="left" vertical="top" wrapText="1"/>
    </xf>
    <xf numFmtId="0" fontId="59" fillId="14" borderId="20" xfId="0" applyFont="1" applyFill="1" applyBorder="1" applyAlignment="1">
      <alignment horizontal="center" vertical="top" wrapText="1"/>
    </xf>
    <xf numFmtId="0" fontId="64" fillId="0" borderId="26" xfId="0" applyFont="1" applyBorder="1" applyAlignment="1">
      <alignment vertical="top" wrapText="1"/>
    </xf>
    <xf numFmtId="0" fontId="65" fillId="0" borderId="6" xfId="0" applyFont="1" applyBorder="1" applyAlignment="1">
      <alignment vertical="top" wrapText="1"/>
    </xf>
    <xf numFmtId="0" fontId="65" fillId="0" borderId="7" xfId="0" applyFont="1" applyBorder="1" applyAlignment="1">
      <alignment vertical="top" wrapText="1"/>
    </xf>
    <xf numFmtId="0" fontId="65" fillId="0" borderId="7" xfId="0" applyFont="1" applyBorder="1" applyAlignment="1">
      <alignment horizontal="left" vertical="top" wrapText="1"/>
    </xf>
    <xf numFmtId="0" fontId="65" fillId="0" borderId="29" xfId="0" applyFont="1" applyBorder="1" applyAlignment="1">
      <alignment vertical="top" wrapText="1"/>
    </xf>
    <xf numFmtId="0" fontId="65" fillId="15" borderId="20" xfId="0" applyFont="1" applyFill="1" applyBorder="1" applyAlignment="1">
      <alignment vertical="top" wrapText="1"/>
    </xf>
    <xf numFmtId="0" fontId="65" fillId="0" borderId="39" xfId="0" applyFont="1" applyBorder="1" applyAlignment="1">
      <alignment vertical="top" wrapText="1"/>
    </xf>
    <xf numFmtId="0" fontId="65" fillId="0" borderId="0" xfId="0" applyFont="1" applyAlignment="1">
      <alignment vertical="top" wrapText="1"/>
    </xf>
    <xf numFmtId="0" fontId="63" fillId="0" borderId="0" xfId="0" applyFont="1" applyAlignment="1">
      <alignment vertical="top" wrapText="1"/>
    </xf>
    <xf numFmtId="0" fontId="63" fillId="0" borderId="65" xfId="0" applyFont="1" applyBorder="1" applyAlignment="1">
      <alignment horizontal="left" vertical="top" wrapText="1"/>
    </xf>
    <xf numFmtId="0" fontId="67" fillId="0" borderId="88" xfId="0" applyFont="1" applyBorder="1" applyAlignment="1">
      <alignment horizontal="center" vertical="center" wrapText="1"/>
    </xf>
    <xf numFmtId="0" fontId="68" fillId="0" borderId="88" xfId="0" applyFont="1" applyBorder="1" applyAlignment="1">
      <alignment horizontal="center" vertical="center" wrapText="1"/>
    </xf>
    <xf numFmtId="0" fontId="68" fillId="0" borderId="23" xfId="0" applyFont="1" applyBorder="1" applyAlignment="1">
      <alignment horizontal="center" vertical="center" wrapText="1"/>
    </xf>
    <xf numFmtId="0" fontId="68" fillId="0" borderId="13" xfId="0" applyFont="1" applyBorder="1" applyAlignment="1">
      <alignment horizontal="center" vertical="center" wrapText="1"/>
    </xf>
    <xf numFmtId="0" fontId="60" fillId="15" borderId="32" xfId="0" applyFont="1" applyFill="1" applyBorder="1" applyAlignment="1">
      <alignment horizontal="center" vertical="center" wrapText="1"/>
    </xf>
    <xf numFmtId="0" fontId="9" fillId="0" borderId="5" xfId="0" applyFont="1" applyBorder="1" applyAlignment="1">
      <alignment horizontal="center" vertical="center" wrapText="1"/>
    </xf>
    <xf numFmtId="0" fontId="60" fillId="15" borderId="1" xfId="0" applyFont="1" applyFill="1" applyBorder="1" applyAlignment="1">
      <alignment horizontal="center" vertical="center" wrapText="1"/>
    </xf>
    <xf numFmtId="0" fontId="9" fillId="0" borderId="28" xfId="0" applyFont="1" applyBorder="1" applyAlignment="1">
      <alignment horizontal="center" vertical="center" wrapText="1"/>
    </xf>
    <xf numFmtId="0" fontId="60" fillId="15" borderId="7" xfId="0" applyFont="1" applyFill="1" applyBorder="1" applyAlignment="1">
      <alignment horizontal="center" vertical="center" wrapText="1"/>
    </xf>
    <xf numFmtId="0" fontId="64" fillId="0" borderId="91" xfId="0" applyFont="1" applyBorder="1" applyAlignment="1">
      <alignment vertical="top" wrapText="1"/>
    </xf>
    <xf numFmtId="0" fontId="54" fillId="0" borderId="21" xfId="1" applyBorder="1" applyAlignment="1">
      <alignment vertical="center" wrapText="1"/>
    </xf>
    <xf numFmtId="0" fontId="16" fillId="15" borderId="24" xfId="0" applyFont="1" applyFill="1" applyBorder="1" applyAlignment="1">
      <alignment horizontal="left" vertical="center" wrapText="1"/>
    </xf>
    <xf numFmtId="0" fontId="61" fillId="0" borderId="9" xfId="0" applyFont="1" applyBorder="1" applyAlignment="1">
      <alignment horizontal="center" vertical="top" wrapText="1"/>
    </xf>
    <xf numFmtId="0" fontId="14" fillId="0" borderId="13" xfId="0" applyFont="1" applyBorder="1" applyAlignment="1">
      <alignment horizontal="center" vertical="top" wrapText="1"/>
    </xf>
    <xf numFmtId="0" fontId="14" fillId="0" borderId="0" xfId="0" applyFont="1" applyAlignment="1">
      <alignment horizontal="center" vertical="top" wrapText="1"/>
    </xf>
    <xf numFmtId="0" fontId="56" fillId="14" borderId="20" xfId="0" applyFont="1" applyFill="1" applyBorder="1" applyAlignment="1">
      <alignment horizontal="center" vertical="top" wrapText="1"/>
    </xf>
    <xf numFmtId="0" fontId="9" fillId="0" borderId="26" xfId="0" applyFont="1" applyBorder="1" applyAlignment="1">
      <alignment horizontal="center" vertical="top" wrapText="1"/>
    </xf>
    <xf numFmtId="0" fontId="9" fillId="0" borderId="79" xfId="0" applyFont="1" applyBorder="1" applyAlignment="1">
      <alignment horizontal="center" vertical="top" wrapText="1"/>
    </xf>
    <xf numFmtId="0" fontId="9" fillId="0" borderId="6" xfId="0" applyFont="1" applyBorder="1" applyAlignment="1">
      <alignment horizontal="center" vertical="top" wrapText="1"/>
    </xf>
    <xf numFmtId="0" fontId="9" fillId="0" borderId="7" xfId="0" applyFont="1" applyBorder="1" applyAlignment="1">
      <alignment horizontal="center" vertical="top" wrapText="1"/>
    </xf>
    <xf numFmtId="0" fontId="14" fillId="15" borderId="7" xfId="0" applyFont="1" applyFill="1" applyBorder="1" applyAlignment="1">
      <alignment horizontal="center" vertical="top" wrapText="1"/>
    </xf>
    <xf numFmtId="0" fontId="9" fillId="0" borderId="29" xfId="0" applyFont="1" applyBorder="1" applyAlignment="1">
      <alignment horizontal="center" vertical="top" wrapText="1"/>
    </xf>
    <xf numFmtId="0" fontId="9" fillId="0" borderId="39" xfId="0" applyFont="1" applyBorder="1" applyAlignment="1">
      <alignment horizontal="center" vertical="top" wrapText="1"/>
    </xf>
    <xf numFmtId="0" fontId="9" fillId="15" borderId="20" xfId="0" applyFont="1" applyFill="1" applyBorder="1" applyAlignment="1">
      <alignment horizontal="center" vertical="top" wrapText="1"/>
    </xf>
    <xf numFmtId="0" fontId="9" fillId="0" borderId="0" xfId="0" applyFont="1" applyAlignment="1">
      <alignment horizontal="center" vertical="top" wrapText="1"/>
    </xf>
    <xf numFmtId="0" fontId="8" fillId="0" borderId="0" xfId="0" applyFont="1" applyAlignment="1">
      <alignment horizontal="center" vertical="top" wrapText="1"/>
    </xf>
    <xf numFmtId="0" fontId="14" fillId="0" borderId="27" xfId="0" applyFont="1" applyBorder="1" applyAlignment="1">
      <alignment horizontal="center" vertical="center" wrapText="1"/>
    </xf>
    <xf numFmtId="0" fontId="14" fillId="0" borderId="88" xfId="0" applyFont="1" applyBorder="1" applyAlignment="1">
      <alignment horizontal="center" vertical="center" wrapText="1"/>
    </xf>
    <xf numFmtId="0" fontId="14" fillId="0" borderId="88" xfId="0" applyFont="1" applyBorder="1" applyAlignment="1">
      <alignment horizontal="center" vertical="top" wrapText="1"/>
    </xf>
    <xf numFmtId="0" fontId="9" fillId="0" borderId="71" xfId="0" applyFont="1" applyBorder="1" applyAlignment="1">
      <alignment horizontal="center" vertical="center" wrapText="1"/>
    </xf>
    <xf numFmtId="0" fontId="14" fillId="0" borderId="74" xfId="0" applyFont="1" applyBorder="1" applyAlignment="1">
      <alignment horizontal="center" vertical="center" wrapText="1"/>
    </xf>
    <xf numFmtId="0" fontId="14" fillId="0" borderId="75" xfId="0" applyFont="1" applyBorder="1" applyAlignment="1">
      <alignment horizontal="center" vertical="center" wrapText="1"/>
    </xf>
    <xf numFmtId="49" fontId="4" fillId="0" borderId="7" xfId="0" applyNumberFormat="1" applyFont="1" applyBorder="1" applyAlignment="1">
      <alignment horizontal="center" vertical="center"/>
    </xf>
    <xf numFmtId="0" fontId="54" fillId="2" borderId="1" xfId="1" applyFill="1" applyBorder="1"/>
    <xf numFmtId="0" fontId="54" fillId="0" borderId="65" xfId="1" applyFill="1" applyBorder="1" applyAlignment="1">
      <alignment horizontal="left" vertical="center"/>
    </xf>
    <xf numFmtId="0" fontId="58" fillId="6" borderId="10" xfId="0" applyFont="1" applyFill="1" applyBorder="1" applyAlignment="1">
      <alignment horizontal="left" vertical="center" wrapText="1"/>
    </xf>
    <xf numFmtId="0" fontId="58" fillId="6" borderId="45" xfId="0" applyFont="1" applyFill="1" applyBorder="1" applyAlignment="1">
      <alignment horizontal="left" vertical="center" wrapText="1"/>
    </xf>
    <xf numFmtId="0" fontId="59" fillId="14" borderId="20" xfId="0" applyFont="1" applyFill="1" applyBorder="1" applyAlignment="1">
      <alignment horizontal="left" vertical="center" wrapText="1"/>
    </xf>
    <xf numFmtId="0" fontId="14" fillId="0" borderId="88" xfId="0" applyFont="1" applyBorder="1" applyAlignment="1">
      <alignment horizontal="left" vertical="center" wrapText="1"/>
    </xf>
    <xf numFmtId="0" fontId="57" fillId="0" borderId="66" xfId="0" applyFont="1" applyBorder="1" applyAlignment="1">
      <alignment horizontal="left" wrapText="1"/>
    </xf>
    <xf numFmtId="0" fontId="57" fillId="0" borderId="45" xfId="0" applyFont="1" applyBorder="1" applyAlignment="1">
      <alignment horizontal="left" wrapText="1"/>
    </xf>
    <xf numFmtId="0" fontId="9" fillId="0" borderId="27" xfId="0" applyFont="1" applyBorder="1" applyAlignment="1">
      <alignment horizontal="left" wrapText="1"/>
    </xf>
    <xf numFmtId="0" fontId="9" fillId="0" borderId="72" xfId="0" applyFont="1" applyBorder="1" applyAlignment="1">
      <alignment horizontal="left" vertical="center" wrapText="1"/>
    </xf>
    <xf numFmtId="0" fontId="8" fillId="0" borderId="80" xfId="0" applyFont="1" applyBorder="1" applyAlignment="1">
      <alignment horizontal="left" wrapText="1"/>
    </xf>
    <xf numFmtId="0" fontId="9" fillId="0" borderId="82" xfId="0" applyFont="1" applyBorder="1" applyAlignment="1">
      <alignment horizontal="left" wrapText="1"/>
    </xf>
    <xf numFmtId="0" fontId="14" fillId="0" borderId="80" xfId="0" applyFont="1" applyBorder="1" applyAlignment="1">
      <alignment horizontal="left" vertical="center" wrapText="1"/>
    </xf>
    <xf numFmtId="0" fontId="57" fillId="0" borderId="87" xfId="0" applyFont="1" applyBorder="1" applyAlignment="1">
      <alignment horizontal="left" wrapText="1"/>
    </xf>
    <xf numFmtId="0" fontId="14" fillId="0" borderId="82" xfId="0" applyFont="1" applyBorder="1" applyAlignment="1">
      <alignment horizontal="left" wrapText="1"/>
    </xf>
    <xf numFmtId="0" fontId="14" fillId="0" borderId="85" xfId="0" applyFont="1" applyBorder="1" applyAlignment="1">
      <alignment horizontal="left" vertical="center" wrapText="1"/>
    </xf>
    <xf numFmtId="0" fontId="57" fillId="0" borderId="80" xfId="0" applyFont="1" applyBorder="1" applyAlignment="1">
      <alignment horizontal="left" wrapText="1"/>
    </xf>
    <xf numFmtId="0" fontId="14" fillId="15" borderId="69" xfId="0" applyFont="1" applyFill="1" applyBorder="1" applyAlignment="1">
      <alignment horizontal="left" vertical="center" wrapText="1"/>
    </xf>
    <xf numFmtId="0" fontId="9" fillId="0" borderId="34" xfId="0" applyFont="1" applyBorder="1" applyAlignment="1">
      <alignment horizontal="left" vertical="center" wrapText="1"/>
    </xf>
    <xf numFmtId="0" fontId="8" fillId="0" borderId="0" xfId="0" applyFont="1" applyAlignment="1">
      <alignment horizontal="left" wrapText="1"/>
    </xf>
    <xf numFmtId="0" fontId="57" fillId="0" borderId="3" xfId="0" applyFont="1" applyBorder="1" applyAlignment="1">
      <alignment horizontal="left" wrapText="1"/>
    </xf>
    <xf numFmtId="0" fontId="60" fillId="15" borderId="35" xfId="0" applyFont="1" applyFill="1" applyBorder="1" applyAlignment="1">
      <alignment horizontal="left" vertical="center" wrapText="1"/>
    </xf>
    <xf numFmtId="0" fontId="60" fillId="15" borderId="37" xfId="0" applyFont="1" applyFill="1" applyBorder="1" applyAlignment="1">
      <alignment horizontal="left" vertical="center" wrapText="1"/>
    </xf>
    <xf numFmtId="0" fontId="9" fillId="0" borderId="37" xfId="0" applyFont="1" applyBorder="1" applyAlignment="1">
      <alignment horizontal="left" vertical="center" wrapText="1"/>
    </xf>
    <xf numFmtId="0" fontId="57" fillId="0" borderId="33" xfId="0" applyFont="1" applyBorder="1" applyAlignment="1">
      <alignment horizontal="left" wrapText="1"/>
    </xf>
    <xf numFmtId="0" fontId="9" fillId="0" borderId="33" xfId="0" applyFont="1" applyBorder="1" applyAlignment="1">
      <alignment horizontal="left" vertical="center" wrapText="1"/>
    </xf>
    <xf numFmtId="0" fontId="60" fillId="15" borderId="65" xfId="0" applyFont="1" applyFill="1" applyBorder="1" applyAlignment="1">
      <alignment horizontal="left" wrapText="1"/>
    </xf>
    <xf numFmtId="0" fontId="60" fillId="15" borderId="35" xfId="0" applyFont="1" applyFill="1" applyBorder="1" applyAlignment="1">
      <alignment horizontal="left" vertical="top" wrapText="1"/>
    </xf>
    <xf numFmtId="0" fontId="60" fillId="15" borderId="33" xfId="0" applyFont="1" applyFill="1" applyBorder="1" applyAlignment="1">
      <alignment horizontal="left" vertical="top" wrapText="1"/>
    </xf>
    <xf numFmtId="0" fontId="60" fillId="15" borderId="37" xfId="0" applyFont="1" applyFill="1" applyBorder="1" applyAlignment="1">
      <alignment horizontal="left" vertical="top" wrapText="1"/>
    </xf>
    <xf numFmtId="0" fontId="60" fillId="15" borderId="35" xfId="0" applyFont="1" applyFill="1" applyBorder="1" applyAlignment="1">
      <alignment horizontal="left" wrapText="1"/>
    </xf>
    <xf numFmtId="0" fontId="57" fillId="0" borderId="69" xfId="0" applyFont="1" applyBorder="1" applyAlignment="1">
      <alignment horizontal="left" wrapText="1"/>
    </xf>
    <xf numFmtId="0" fontId="60" fillId="15" borderId="29" xfId="0" applyFont="1" applyFill="1" applyBorder="1" applyAlignment="1">
      <alignment horizontal="left" vertical="top" wrapText="1"/>
    </xf>
    <xf numFmtId="0" fontId="57" fillId="0" borderId="39" xfId="0" applyFont="1" applyBorder="1" applyAlignment="1">
      <alignment horizontal="left" wrapText="1"/>
    </xf>
    <xf numFmtId="0" fontId="57" fillId="0" borderId="6" xfId="0" applyFont="1" applyBorder="1" applyAlignment="1">
      <alignment horizontal="left" wrapText="1"/>
    </xf>
    <xf numFmtId="0" fontId="9" fillId="15" borderId="29" xfId="0" applyFont="1" applyFill="1" applyBorder="1" applyAlignment="1">
      <alignment horizontal="left" vertical="center" wrapText="1"/>
    </xf>
    <xf numFmtId="0" fontId="9" fillId="0" borderId="7" xfId="0" applyFont="1" applyBorder="1" applyAlignment="1">
      <alignment horizontal="left" wrapText="1"/>
    </xf>
    <xf numFmtId="0" fontId="40" fillId="39" borderId="26" xfId="0" applyFont="1" applyFill="1" applyBorder="1" applyAlignment="1">
      <alignment horizontal="left" wrapText="1"/>
    </xf>
    <xf numFmtId="0" fontId="63" fillId="39" borderId="65" xfId="0" applyFont="1" applyFill="1" applyBorder="1" applyAlignment="1">
      <alignment horizontal="left" vertical="top" wrapText="1"/>
    </xf>
    <xf numFmtId="0" fontId="9" fillId="39" borderId="79" xfId="0" applyFont="1" applyFill="1" applyBorder="1" applyAlignment="1">
      <alignment horizontal="center" vertical="top" wrapText="1"/>
    </xf>
    <xf numFmtId="0" fontId="9" fillId="39" borderId="88" xfId="0" applyFont="1" applyFill="1" applyBorder="1" applyAlignment="1">
      <alignment horizontal="center" vertical="center" wrapText="1"/>
    </xf>
    <xf numFmtId="0" fontId="14" fillId="39" borderId="10" xfId="0" applyFont="1" applyFill="1" applyBorder="1" applyAlignment="1">
      <alignment horizontal="left" vertical="center" wrapText="1"/>
    </xf>
    <xf numFmtId="0" fontId="14" fillId="39" borderId="21" xfId="0" applyFont="1" applyFill="1" applyBorder="1" applyAlignment="1">
      <alignment horizontal="left" vertical="center" wrapText="1"/>
    </xf>
    <xf numFmtId="49" fontId="16" fillId="39" borderId="21" xfId="0" applyNumberFormat="1" applyFont="1" applyFill="1" applyBorder="1" applyAlignment="1">
      <alignment horizontal="center" vertical="center" wrapText="1"/>
    </xf>
    <xf numFmtId="0" fontId="17" fillId="39" borderId="21" xfId="0" applyFont="1" applyFill="1" applyBorder="1" applyAlignment="1">
      <alignment vertical="center" wrapText="1"/>
    </xf>
    <xf numFmtId="0" fontId="9" fillId="39" borderId="21" xfId="0" applyFont="1" applyFill="1" applyBorder="1" applyAlignment="1">
      <alignment vertical="center" wrapText="1"/>
    </xf>
    <xf numFmtId="0" fontId="16" fillId="39" borderId="21" xfId="0" applyFont="1" applyFill="1" applyBorder="1" applyAlignment="1">
      <alignment horizontal="left" vertical="center" wrapText="1"/>
    </xf>
    <xf numFmtId="0" fontId="39" fillId="39" borderId="21" xfId="0" applyFont="1" applyFill="1" applyBorder="1" applyAlignment="1">
      <alignment horizontal="left" vertical="center" wrapText="1"/>
    </xf>
    <xf numFmtId="0" fontId="37" fillId="39" borderId="21" xfId="0" applyFont="1" applyFill="1" applyBorder="1" applyAlignment="1">
      <alignment horizontal="left" vertical="center" wrapText="1"/>
    </xf>
    <xf numFmtId="0" fontId="18" fillId="39" borderId="21" xfId="0" applyFont="1" applyFill="1" applyBorder="1" applyAlignment="1">
      <alignment wrapText="1"/>
    </xf>
    <xf numFmtId="0" fontId="0" fillId="39" borderId="0" xfId="0" applyFill="1" applyAlignment="1">
      <alignment wrapText="1"/>
    </xf>
    <xf numFmtId="0" fontId="16" fillId="40" borderId="57" xfId="0" applyFont="1" applyFill="1" applyBorder="1" applyAlignment="1">
      <alignment horizontal="left" vertical="center" wrapText="1"/>
    </xf>
    <xf numFmtId="0" fontId="63" fillId="39" borderId="88" xfId="0" applyFont="1" applyFill="1" applyBorder="1" applyAlignment="1">
      <alignment horizontal="left" vertical="top" wrapText="1"/>
    </xf>
    <xf numFmtId="0" fontId="14" fillId="39" borderId="65" xfId="0" applyFont="1" applyFill="1" applyBorder="1" applyAlignment="1">
      <alignment horizontal="center" vertical="top" wrapText="1"/>
    </xf>
    <xf numFmtId="0" fontId="14" fillId="39" borderId="45" xfId="0" applyFont="1" applyFill="1" applyBorder="1" applyAlignment="1">
      <alignment horizontal="center" vertical="center" wrapText="1"/>
    </xf>
    <xf numFmtId="0" fontId="14" fillId="39" borderId="21" xfId="0" applyFont="1" applyFill="1" applyBorder="1" applyAlignment="1">
      <alignment horizontal="center" vertical="center" wrapText="1"/>
    </xf>
    <xf numFmtId="49" fontId="18" fillId="39" borderId="21" xfId="0" applyNumberFormat="1" applyFont="1" applyFill="1" applyBorder="1" applyAlignment="1">
      <alignment horizontal="center" vertical="center" wrapText="1"/>
    </xf>
    <xf numFmtId="0" fontId="18" fillId="39" borderId="21" xfId="0" applyFont="1" applyFill="1" applyBorder="1" applyAlignment="1">
      <alignment vertical="center" wrapText="1"/>
    </xf>
    <xf numFmtId="0" fontId="17" fillId="39" borderId="21" xfId="0" applyFont="1" applyFill="1" applyBorder="1" applyAlignment="1">
      <alignment wrapText="1"/>
    </xf>
    <xf numFmtId="0" fontId="54" fillId="0" borderId="3" xfId="1" applyBorder="1" applyAlignment="1">
      <alignment horizontal="center" vertical="top"/>
    </xf>
    <xf numFmtId="0" fontId="11" fillId="0" borderId="5" xfId="0" applyFont="1" applyBorder="1"/>
    <xf numFmtId="0" fontId="4" fillId="0" borderId="3" xfId="0" applyFont="1" applyBorder="1" applyAlignment="1">
      <alignment horizontal="center" vertical="top"/>
    </xf>
    <xf numFmtId="14" fontId="4" fillId="0" borderId="3" xfId="0" applyNumberFormat="1" applyFont="1" applyBorder="1" applyAlignment="1">
      <alignment horizontal="center" vertical="top"/>
    </xf>
    <xf numFmtId="0" fontId="9" fillId="0" borderId="30" xfId="0" applyFont="1" applyBorder="1" applyAlignment="1">
      <alignment horizontal="center" vertical="center" wrapText="1"/>
    </xf>
    <xf numFmtId="0" fontId="68" fillId="0" borderId="5" xfId="0" applyFont="1" applyBorder="1" applyAlignment="1">
      <alignment horizontal="center" vertical="center" wrapText="1"/>
    </xf>
    <xf numFmtId="0" fontId="16" fillId="15" borderId="29" xfId="0" applyFont="1" applyFill="1" applyBorder="1" applyAlignment="1">
      <alignment horizontal="left" vertical="center" wrapText="1"/>
    </xf>
    <xf numFmtId="0" fontId="11" fillId="0" borderId="6" xfId="0" applyFont="1" applyBorder="1" applyAlignment="1">
      <alignment wrapText="1"/>
    </xf>
    <xf numFmtId="0" fontId="9" fillId="0" borderId="29" xfId="0" applyFont="1" applyBorder="1" applyAlignment="1">
      <alignment horizontal="center" vertical="top" wrapText="1"/>
    </xf>
    <xf numFmtId="0" fontId="57" fillId="0" borderId="6" xfId="0" applyFont="1" applyBorder="1" applyAlignment="1">
      <alignment horizontal="center" vertical="top" wrapText="1"/>
    </xf>
    <xf numFmtId="0" fontId="37" fillId="0" borderId="29" xfId="0" applyFont="1" applyBorder="1" applyAlignment="1">
      <alignment horizontal="left" vertical="center" wrapText="1"/>
    </xf>
    <xf numFmtId="0" fontId="57" fillId="0" borderId="39" xfId="0" applyFont="1" applyBorder="1" applyAlignment="1">
      <alignment horizontal="center" vertical="top" wrapText="1"/>
    </xf>
    <xf numFmtId="0" fontId="11" fillId="0" borderId="39" xfId="0" applyFont="1" applyBorder="1" applyAlignment="1">
      <alignment wrapText="1"/>
    </xf>
    <xf numFmtId="0" fontId="14" fillId="0" borderId="29" xfId="0" applyFont="1" applyBorder="1" applyAlignment="1">
      <alignment horizontal="left" vertical="center" wrapText="1"/>
    </xf>
    <xf numFmtId="0" fontId="57" fillId="0" borderId="39" xfId="0" applyFont="1" applyBorder="1" applyAlignment="1">
      <alignment wrapText="1"/>
    </xf>
    <xf numFmtId="0" fontId="57" fillId="0" borderId="6" xfId="0" applyFont="1" applyBorder="1" applyAlignment="1">
      <alignment wrapText="1"/>
    </xf>
    <xf numFmtId="0" fontId="9" fillId="0" borderId="39" xfId="0" applyFont="1" applyBorder="1" applyAlignment="1">
      <alignment horizontal="center" vertical="center" wrapText="1"/>
    </xf>
    <xf numFmtId="0" fontId="68" fillId="0" borderId="39" xfId="0" applyFont="1" applyBorder="1" applyAlignment="1">
      <alignment horizontal="center" vertical="center" wrapText="1"/>
    </xf>
    <xf numFmtId="0" fontId="68" fillId="0" borderId="6" xfId="0" applyFont="1" applyBorder="1" applyAlignment="1">
      <alignment horizontal="center" vertical="center" wrapText="1"/>
    </xf>
    <xf numFmtId="0" fontId="60" fillId="15" borderId="37" xfId="0" applyFont="1" applyFill="1" applyBorder="1" applyAlignment="1">
      <alignment horizontal="center" vertical="center" wrapText="1"/>
    </xf>
    <xf numFmtId="0" fontId="68" fillId="0" borderId="38" xfId="0" applyFont="1" applyBorder="1" applyAlignment="1">
      <alignment horizontal="center" vertical="center" wrapText="1"/>
    </xf>
    <xf numFmtId="0" fontId="64" fillId="0" borderId="89" xfId="0" applyFont="1" applyBorder="1" applyAlignment="1">
      <alignment vertical="top" wrapText="1"/>
    </xf>
    <xf numFmtId="0" fontId="64" fillId="0" borderId="90" xfId="0" applyFont="1" applyBorder="1" applyAlignment="1">
      <alignment vertical="top" wrapText="1"/>
    </xf>
    <xf numFmtId="0" fontId="64" fillId="0" borderId="91" xfId="0" applyFont="1" applyBorder="1" applyAlignment="1">
      <alignment vertical="top" wrapText="1"/>
    </xf>
    <xf numFmtId="0" fontId="63" fillId="0" borderId="65" xfId="0" applyFont="1" applyBorder="1" applyAlignment="1">
      <alignment horizontal="left" vertical="top" wrapText="1"/>
    </xf>
    <xf numFmtId="0" fontId="63" fillId="0" borderId="92" xfId="0" applyFont="1" applyBorder="1" applyAlignment="1">
      <alignment horizontal="left" vertical="top" wrapText="1"/>
    </xf>
    <xf numFmtId="0" fontId="9" fillId="0" borderId="29" xfId="0" applyFont="1" applyBorder="1" applyAlignment="1">
      <alignment horizontal="left" vertical="center" wrapText="1"/>
    </xf>
    <xf numFmtId="0" fontId="65" fillId="0" borderId="29" xfId="0" applyFont="1" applyBorder="1" applyAlignment="1">
      <alignment horizontal="center" vertical="top" wrapText="1"/>
    </xf>
    <xf numFmtId="0" fontId="66" fillId="0" borderId="39" xfId="0" applyFont="1" applyBorder="1" applyAlignment="1">
      <alignment vertical="top" wrapText="1"/>
    </xf>
    <xf numFmtId="0" fontId="66" fillId="0" borderId="6" xfId="0" applyFont="1" applyBorder="1" applyAlignment="1">
      <alignment vertical="top" wrapText="1"/>
    </xf>
    <xf numFmtId="0" fontId="14" fillId="0" borderId="83" xfId="0" applyFont="1" applyBorder="1" applyAlignment="1">
      <alignment horizontal="center" vertical="center" wrapText="1"/>
    </xf>
    <xf numFmtId="0" fontId="68" fillId="0" borderId="86" xfId="0" applyFont="1" applyBorder="1" applyAlignment="1">
      <alignment horizontal="center" vertical="center" wrapText="1"/>
    </xf>
    <xf numFmtId="0" fontId="68" fillId="0" borderId="84" xfId="0" applyFont="1" applyBorder="1" applyAlignment="1">
      <alignment horizontal="center" vertical="center" wrapText="1"/>
    </xf>
    <xf numFmtId="0" fontId="9" fillId="0" borderId="34" xfId="0" applyFont="1" applyBorder="1" applyAlignment="1">
      <alignment horizontal="center" vertical="center" wrapText="1"/>
    </xf>
    <xf numFmtId="0" fontId="14" fillId="0" borderId="0" xfId="0" applyFont="1" applyAlignment="1">
      <alignment horizontal="center" vertical="center" wrapText="1"/>
    </xf>
    <xf numFmtId="0" fontId="68" fillId="0" borderId="3" xfId="0" applyFont="1" applyBorder="1" applyAlignment="1">
      <alignment horizontal="center" vertical="center" wrapText="1"/>
    </xf>
    <xf numFmtId="0" fontId="15" fillId="12" borderId="8" xfId="0" applyFont="1" applyFill="1" applyBorder="1" applyAlignment="1">
      <alignment horizontal="center" vertical="center" wrapText="1"/>
    </xf>
    <xf numFmtId="0" fontId="11" fillId="0" borderId="9" xfId="0" applyFont="1" applyBorder="1" applyAlignment="1">
      <alignment wrapText="1"/>
    </xf>
    <xf numFmtId="0" fontId="8" fillId="12" borderId="8" xfId="0" applyFont="1" applyFill="1" applyBorder="1" applyAlignment="1">
      <alignment vertical="center" wrapText="1"/>
    </xf>
    <xf numFmtId="0" fontId="11" fillId="0" borderId="17" xfId="0" applyFont="1" applyBorder="1" applyAlignment="1">
      <alignment wrapText="1"/>
    </xf>
    <xf numFmtId="0" fontId="11" fillId="0" borderId="49" xfId="0" applyFont="1" applyBorder="1" applyAlignment="1">
      <alignment wrapText="1"/>
    </xf>
    <xf numFmtId="0" fontId="14" fillId="0" borderId="77" xfId="0" applyFont="1" applyBorder="1" applyAlignment="1">
      <alignment horizontal="center" vertical="top" wrapText="1"/>
    </xf>
    <xf numFmtId="0" fontId="14" fillId="0" borderId="74" xfId="0" applyFont="1" applyBorder="1" applyAlignment="1">
      <alignment horizontal="center" vertical="top" wrapText="1"/>
    </xf>
    <xf numFmtId="0" fontId="14" fillId="0" borderId="78" xfId="0" applyFont="1" applyBorder="1" applyAlignment="1">
      <alignment horizontal="center" vertical="top" wrapText="1"/>
    </xf>
    <xf numFmtId="0" fontId="9" fillId="0" borderId="71" xfId="0" applyFont="1" applyBorder="1" applyAlignment="1">
      <alignment horizontal="center" vertical="top" wrapText="1"/>
    </xf>
    <xf numFmtId="0" fontId="9" fillId="0" borderId="74" xfId="0" applyFont="1" applyBorder="1" applyAlignment="1">
      <alignment horizontal="center" vertical="top" wrapText="1"/>
    </xf>
    <xf numFmtId="0" fontId="9" fillId="0" borderId="75" xfId="0" applyFont="1" applyBorder="1" applyAlignment="1">
      <alignment horizontal="center" vertical="top" wrapText="1"/>
    </xf>
    <xf numFmtId="0" fontId="14" fillId="0" borderId="71" xfId="0" applyFont="1" applyBorder="1" applyAlignment="1">
      <alignment horizontal="center" vertical="top" wrapText="1"/>
    </xf>
    <xf numFmtId="0" fontId="14" fillId="0" borderId="75" xfId="0" applyFont="1" applyBorder="1" applyAlignment="1">
      <alignment horizontal="center" vertical="top" wrapText="1"/>
    </xf>
    <xf numFmtId="0" fontId="63" fillId="0" borderId="57" xfId="0" applyFont="1" applyBorder="1" applyAlignment="1">
      <alignment horizontal="left" vertical="top" wrapText="1"/>
    </xf>
    <xf numFmtId="0" fontId="63" fillId="0" borderId="63" xfId="0" applyFont="1" applyBorder="1" applyAlignment="1">
      <alignment horizontal="left" vertical="top" wrapText="1"/>
    </xf>
    <xf numFmtId="0" fontId="63" fillId="0" borderId="67" xfId="0" applyFont="1" applyBorder="1" applyAlignment="1">
      <alignment horizontal="left" vertical="top" wrapText="1"/>
    </xf>
    <xf numFmtId="0" fontId="15" fillId="6" borderId="8" xfId="0" applyFont="1" applyFill="1" applyBorder="1" applyAlignment="1">
      <alignment horizontal="center" vertical="center" wrapText="1"/>
    </xf>
    <xf numFmtId="0" fontId="20" fillId="7" borderId="11" xfId="0" applyFont="1" applyFill="1" applyBorder="1" applyAlignment="1">
      <alignment horizontal="center" wrapText="1"/>
    </xf>
    <xf numFmtId="0" fontId="11" fillId="0" borderId="12" xfId="0" applyFont="1" applyBorder="1" applyAlignment="1">
      <alignment wrapText="1"/>
    </xf>
    <xf numFmtId="0" fontId="30" fillId="0" borderId="24" xfId="0" applyFont="1" applyBorder="1" applyAlignment="1">
      <alignment horizontal="center" vertical="center"/>
    </xf>
    <xf numFmtId="0" fontId="11" fillId="0" borderId="59" xfId="0" applyFont="1" applyBorder="1"/>
    <xf numFmtId="0" fontId="11" fillId="0" borderId="25" xfId="0" applyFont="1" applyBorder="1"/>
    <xf numFmtId="0" fontId="30" fillId="0" borderId="24" xfId="0" applyFont="1" applyBorder="1" applyAlignment="1">
      <alignment horizontal="center" vertical="top" wrapText="1"/>
    </xf>
    <xf numFmtId="0" fontId="30" fillId="0" borderId="24" xfId="0" applyFont="1" applyBorder="1" applyAlignment="1">
      <alignment horizontal="center" vertical="center" wrapText="1"/>
    </xf>
    <xf numFmtId="0" fontId="8" fillId="0" borderId="57" xfId="0" applyFont="1" applyBorder="1" applyAlignment="1">
      <alignment horizontal="center" vertical="center" wrapText="1"/>
    </xf>
    <xf numFmtId="0" fontId="11" fillId="0" borderId="58" xfId="0" applyFont="1" applyBorder="1"/>
    <xf numFmtId="0" fontId="11" fillId="0" borderId="27" xfId="0" applyFont="1" applyBorder="1"/>
    <xf numFmtId="0" fontId="11" fillId="0" borderId="60" xfId="0" applyFont="1" applyBorder="1"/>
    <xf numFmtId="0" fontId="0" fillId="0" borderId="0" xfId="0"/>
    <xf numFmtId="0" fontId="11" fillId="0" borderId="23" xfId="0" applyFont="1" applyBorder="1"/>
    <xf numFmtId="0" fontId="11" fillId="0" borderId="53" xfId="0" applyFont="1" applyBorder="1"/>
    <xf numFmtId="0" fontId="11" fillId="0" borderId="54" xfId="0" applyFont="1" applyBorder="1"/>
    <xf numFmtId="0" fontId="11" fillId="0" borderId="13" xfId="0" applyFont="1" applyBorder="1"/>
    <xf numFmtId="0" fontId="33" fillId="19" borderId="43" xfId="0" applyFont="1" applyFill="1" applyBorder="1" applyAlignment="1">
      <alignment horizontal="left" vertical="center" wrapText="1"/>
    </xf>
    <xf numFmtId="0" fontId="11" fillId="0" borderId="44" xfId="0" applyFont="1" applyBorder="1"/>
    <xf numFmtId="0" fontId="11" fillId="0" borderId="45" xfId="0" applyFont="1" applyBorder="1"/>
    <xf numFmtId="0" fontId="47" fillId="21" borderId="50" xfId="0" applyFont="1" applyFill="1" applyBorder="1" applyAlignment="1">
      <alignment horizontal="center" vertical="center" wrapText="1"/>
    </xf>
    <xf numFmtId="0" fontId="11" fillId="0" borderId="51" xfId="0" applyFont="1" applyBorder="1"/>
    <xf numFmtId="0" fontId="11" fillId="0" borderId="52" xfId="0" applyFont="1" applyBorder="1"/>
    <xf numFmtId="0" fontId="33" fillId="30" borderId="8" xfId="0" applyFont="1" applyFill="1" applyBorder="1" applyAlignment="1">
      <alignment horizontal="center" wrapText="1"/>
    </xf>
    <xf numFmtId="0" fontId="11" fillId="0" borderId="17" xfId="0" applyFont="1" applyBorder="1"/>
    <xf numFmtId="0" fontId="11" fillId="0" borderId="9" xfId="0" applyFont="1" applyBorder="1"/>
    <xf numFmtId="0" fontId="33" fillId="30" borderId="8" xfId="0" applyFont="1" applyFill="1" applyBorder="1" applyAlignment="1">
      <alignment horizontal="center" vertical="top" wrapText="1"/>
    </xf>
    <xf numFmtId="0" fontId="37" fillId="31" borderId="8" xfId="0" applyFont="1" applyFill="1" applyBorder="1"/>
    <xf numFmtId="0" fontId="30" fillId="32" borderId="24" xfId="0" applyFont="1" applyFill="1" applyBorder="1" applyAlignment="1">
      <alignment horizontal="center" vertical="center" wrapText="1"/>
    </xf>
    <xf numFmtId="0" fontId="30" fillId="32" borderId="57" xfId="0" applyFont="1" applyFill="1" applyBorder="1" applyAlignment="1">
      <alignment horizontal="center" vertical="center"/>
    </xf>
    <xf numFmtId="0" fontId="30" fillId="32" borderId="24" xfId="0" applyFont="1" applyFill="1" applyBorder="1" applyAlignment="1">
      <alignment horizontal="center"/>
    </xf>
    <xf numFmtId="0" fontId="43" fillId="17" borderId="8" xfId="0" applyFont="1" applyFill="1" applyBorder="1" applyAlignment="1">
      <alignment horizontal="center"/>
    </xf>
    <xf numFmtId="0" fontId="50" fillId="33" borderId="50" xfId="0" applyFont="1" applyFill="1" applyBorder="1" applyAlignment="1">
      <alignment horizontal="left" vertical="center"/>
    </xf>
    <xf numFmtId="0" fontId="15" fillId="33" borderId="61" xfId="0" applyFont="1" applyFill="1" applyBorder="1" applyAlignment="1">
      <alignment horizontal="left" vertical="center"/>
    </xf>
    <xf numFmtId="0" fontId="11" fillId="0" borderId="62" xfId="0" applyFont="1" applyBorder="1"/>
    <xf numFmtId="0" fontId="49" fillId="28" borderId="57" xfId="0" applyFont="1" applyFill="1" applyBorder="1" applyAlignment="1">
      <alignment horizontal="left" vertical="center"/>
    </xf>
    <xf numFmtId="0" fontId="50" fillId="33" borderId="57" xfId="0" applyFont="1" applyFill="1" applyBorder="1" applyAlignment="1">
      <alignment horizontal="left" vertical="center"/>
    </xf>
    <xf numFmtId="0" fontId="15" fillId="33" borderId="61" xfId="0" applyFont="1" applyFill="1" applyBorder="1" applyAlignment="1">
      <alignment vertical="center"/>
    </xf>
    <xf numFmtId="0" fontId="49" fillId="14" borderId="57" xfId="0" applyFont="1" applyFill="1" applyBorder="1" applyAlignment="1">
      <alignment horizontal="left" vertical="center"/>
    </xf>
    <xf numFmtId="0" fontId="62" fillId="0" borderId="52" xfId="0" applyFont="1" applyBorder="1"/>
    <xf numFmtId="0" fontId="62" fillId="0" borderId="60" xfId="0" applyFont="1" applyBorder="1"/>
    <xf numFmtId="0" fontId="62" fillId="0" borderId="23" xfId="0" applyFont="1" applyBorder="1"/>
    <xf numFmtId="0" fontId="52" fillId="35" borderId="57" xfId="0" applyFont="1" applyFill="1" applyBorder="1" applyAlignment="1">
      <alignment horizontal="center" vertical="center"/>
    </xf>
  </cellXfs>
  <cellStyles count="2">
    <cellStyle name="Hyperlink" xfId="1" builtinId="8"/>
    <cellStyle name="Normal" xfId="0" builtinId="0"/>
  </cellStyles>
  <dxfs count="8">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404040"/>
                </a:solidFill>
                <a:latin typeface="Calibri"/>
              </a:defRPr>
            </a:pPr>
            <a:r>
              <a:rPr lang="en-GB" sz="1800" b="1" i="0">
                <a:solidFill>
                  <a:srgbClr val="404040"/>
                </a:solidFill>
                <a:latin typeface="Calibri"/>
              </a:rPr>
              <a:t>Test Case Report</a:t>
            </a:r>
          </a:p>
        </c:rich>
      </c:tx>
      <c:overlay val="0"/>
    </c:title>
    <c:autoTitleDeleted val="0"/>
    <c:plotArea>
      <c:layout/>
      <c:doughnutChart>
        <c:varyColors val="1"/>
        <c:ser>
          <c:idx val="0"/>
          <c:order val="0"/>
          <c:dPt>
            <c:idx val="0"/>
            <c:bubble3D val="0"/>
            <c:spPr>
              <a:solidFill>
                <a:srgbClr val="5B9BD5"/>
              </a:solidFill>
            </c:spPr>
            <c:extLst>
              <c:ext xmlns:c16="http://schemas.microsoft.com/office/drawing/2014/chart" uri="{C3380CC4-5D6E-409C-BE32-E72D297353CC}">
                <c16:uniqueId val="{00000001-4409-D348-B182-6BC00FDA1447}"/>
              </c:ext>
            </c:extLst>
          </c:dPt>
          <c:dPt>
            <c:idx val="1"/>
            <c:bubble3D val="0"/>
            <c:spPr>
              <a:solidFill>
                <a:srgbClr val="C0504D"/>
              </a:solidFill>
            </c:spPr>
            <c:extLst>
              <c:ext xmlns:c16="http://schemas.microsoft.com/office/drawing/2014/chart" uri="{C3380CC4-5D6E-409C-BE32-E72D297353CC}">
                <c16:uniqueId val="{00000003-4409-D348-B182-6BC00FDA1447}"/>
              </c:ext>
            </c:extLst>
          </c:dPt>
          <c:dPt>
            <c:idx val="2"/>
            <c:bubble3D val="0"/>
            <c:spPr>
              <a:solidFill>
                <a:srgbClr val="9BBB59"/>
              </a:solidFill>
            </c:spPr>
            <c:extLst>
              <c:ext xmlns:c16="http://schemas.microsoft.com/office/drawing/2014/chart" uri="{C3380CC4-5D6E-409C-BE32-E72D297353CC}">
                <c16:uniqueId val="{00000005-4409-D348-B182-6BC00FDA1447}"/>
              </c:ext>
            </c:extLst>
          </c:dPt>
          <c:dPt>
            <c:idx val="3"/>
            <c:bubble3D val="0"/>
            <c:spPr>
              <a:solidFill>
                <a:srgbClr val="8064A2"/>
              </a:solidFill>
            </c:spPr>
            <c:extLst>
              <c:ext xmlns:c16="http://schemas.microsoft.com/office/drawing/2014/chart" uri="{C3380CC4-5D6E-409C-BE32-E72D297353CC}">
                <c16:uniqueId val="{00000007-4409-D348-B182-6BC00FDA1447}"/>
              </c:ext>
            </c:extLst>
          </c:dPt>
          <c:dLbls>
            <c:dLbl>
              <c:idx val="0"/>
              <c:spPr/>
              <c:txPr>
                <a:bodyPr/>
                <a:lstStyle/>
                <a:p>
                  <a:pPr lvl="0">
                    <a:defRPr sz="1000" b="1" i="0">
                      <a:solidFill>
                        <a:srgbClr val="FFFFFF"/>
                      </a:solidFill>
                      <a:latin typeface="Calibri"/>
                    </a:defRPr>
                  </a:pPr>
                  <a:endParaRPr lang="en-BD"/>
                </a:p>
              </c:txPr>
              <c:showLegendKey val="0"/>
              <c:showVal val="0"/>
              <c:showCatName val="0"/>
              <c:showSerName val="0"/>
              <c:showPercent val="1"/>
              <c:showBubbleSize val="0"/>
              <c:extLst>
                <c:ext xmlns:c16="http://schemas.microsoft.com/office/drawing/2014/chart" uri="{C3380CC4-5D6E-409C-BE32-E72D297353CC}">
                  <c16:uniqueId val="{00000001-4409-D348-B182-6BC00FDA1447}"/>
                </c:ext>
              </c:extLst>
            </c:dLbl>
            <c:dLbl>
              <c:idx val="1"/>
              <c:spPr/>
              <c:txPr>
                <a:bodyPr/>
                <a:lstStyle/>
                <a:p>
                  <a:pPr lvl="0">
                    <a:defRPr sz="1000" b="1" i="0">
                      <a:solidFill>
                        <a:srgbClr val="FFFFFF"/>
                      </a:solidFill>
                      <a:latin typeface="Calibri"/>
                    </a:defRPr>
                  </a:pPr>
                  <a:endParaRPr lang="en-BD"/>
                </a:p>
              </c:txPr>
              <c:showLegendKey val="0"/>
              <c:showVal val="0"/>
              <c:showCatName val="0"/>
              <c:showSerName val="0"/>
              <c:showPercent val="1"/>
              <c:showBubbleSize val="0"/>
              <c:extLst>
                <c:ext xmlns:c16="http://schemas.microsoft.com/office/drawing/2014/chart" uri="{C3380CC4-5D6E-409C-BE32-E72D297353CC}">
                  <c16:uniqueId val="{00000003-4409-D348-B182-6BC00FDA1447}"/>
                </c:ext>
              </c:extLst>
            </c:dLbl>
            <c:dLbl>
              <c:idx val="2"/>
              <c:spPr/>
              <c:txPr>
                <a:bodyPr/>
                <a:lstStyle/>
                <a:p>
                  <a:pPr lvl="0">
                    <a:defRPr sz="1000" b="1" i="0">
                      <a:solidFill>
                        <a:srgbClr val="FFFFFF"/>
                      </a:solidFill>
                      <a:latin typeface="Calibri"/>
                    </a:defRPr>
                  </a:pPr>
                  <a:endParaRPr lang="en-BD"/>
                </a:p>
              </c:txPr>
              <c:showLegendKey val="0"/>
              <c:showVal val="0"/>
              <c:showCatName val="0"/>
              <c:showSerName val="0"/>
              <c:showPercent val="1"/>
              <c:showBubbleSize val="0"/>
              <c:extLst>
                <c:ext xmlns:c16="http://schemas.microsoft.com/office/drawing/2014/chart" uri="{C3380CC4-5D6E-409C-BE32-E72D297353CC}">
                  <c16:uniqueId val="{00000005-4409-D348-B182-6BC00FDA1447}"/>
                </c:ext>
              </c:extLst>
            </c:dLbl>
            <c:dLbl>
              <c:idx val="3"/>
              <c:spPr/>
              <c:txPr>
                <a:bodyPr/>
                <a:lstStyle/>
                <a:p>
                  <a:pPr lvl="0">
                    <a:defRPr sz="1000" b="1" i="0">
                      <a:solidFill>
                        <a:srgbClr val="FFFFFF"/>
                      </a:solidFill>
                      <a:latin typeface="Calibri"/>
                    </a:defRPr>
                  </a:pPr>
                  <a:endParaRPr lang="en-BD"/>
                </a:p>
              </c:txPr>
              <c:showLegendKey val="0"/>
              <c:showVal val="0"/>
              <c:showCatName val="0"/>
              <c:showSerName val="0"/>
              <c:showPercent val="1"/>
              <c:showBubbleSize val="0"/>
              <c:extLst>
                <c:ext xmlns:c16="http://schemas.microsoft.com/office/drawing/2014/chart" uri="{C3380CC4-5D6E-409C-BE32-E72D297353CC}">
                  <c16:uniqueId val="{00000007-4409-D348-B182-6BC00FDA1447}"/>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50</c:v>
                </c:pt>
                <c:pt idx="1">
                  <c:v>4</c:v>
                </c:pt>
                <c:pt idx="2">
                  <c:v>1</c:v>
                </c:pt>
                <c:pt idx="3">
                  <c:v>0</c:v>
                </c:pt>
              </c:numCache>
            </c:numRef>
          </c:val>
          <c:extLst>
            <c:ext xmlns:c16="http://schemas.microsoft.com/office/drawing/2014/chart" uri="{C3380CC4-5D6E-409C-BE32-E72D297353CC}">
              <c16:uniqueId val="{00000008-4409-D348-B182-6BC00FDA1447}"/>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BD"/>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819150</xdr:colOff>
      <xdr:row>1</xdr:row>
      <xdr:rowOff>122509</xdr:rowOff>
    </xdr:from>
    <xdr:ext cx="5848350" cy="4041232"/>
    <xdr:pic>
      <xdr:nvPicPr>
        <xdr:cNvPr id="2" name="image3.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19150" y="284434"/>
          <a:ext cx="5848350" cy="4041232"/>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472517</xdr:colOff>
      <xdr:row>4</xdr:row>
      <xdr:rowOff>6688</xdr:rowOff>
    </xdr:from>
    <xdr:ext cx="11102292" cy="9311599"/>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4335" y="641688"/>
          <a:ext cx="11102292" cy="9311599"/>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1054319433" name="Chart 1">
          <a:extLst>
            <a:ext uri="{FF2B5EF4-FFF2-40B4-BE49-F238E27FC236}">
              <a16:creationId xmlns:a16="http://schemas.microsoft.com/office/drawing/2014/main" id="{00000000-0008-0000-0400-000049A3D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LyoeJRwF78GesNRWx_dXWnaYY9OXAa/edit?usp=sharing&amp;ouid=102762155164068899487&amp;rtpof=true&amp;sd=tru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app.xmind.com/share/q3bLtZUM?xid=vVfZ7q2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arong.com/bg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esCJ9AxILTHBpJfRBQwbQrCOzgqe5I_3/view?usp=sharing" TargetMode="External"/><Relationship Id="rId13" Type="http://schemas.openxmlformats.org/officeDocument/2006/relationships/hyperlink" Target="mailto:nayem96a@gmail.com" TargetMode="External"/><Relationship Id="rId3" Type="http://schemas.openxmlformats.org/officeDocument/2006/relationships/hyperlink" Target="mailto:tahminaislam011@gmail.com" TargetMode="External"/><Relationship Id="rId7" Type="http://schemas.openxmlformats.org/officeDocument/2006/relationships/hyperlink" Target="mailto:abcfrg.huo@gmail.com" TargetMode="External"/><Relationship Id="rId12" Type="http://schemas.openxmlformats.org/officeDocument/2006/relationships/hyperlink" Target="https://drive.google.com/file/d/1X-jxEPG4WFjE2zdnvtaoBZXObuYkmM0Z/view?usp=sharing" TargetMode="External"/><Relationship Id="rId2" Type="http://schemas.openxmlformats.org/officeDocument/2006/relationships/hyperlink" Target="mailto:thamina21i@gmail.com" TargetMode="External"/><Relationship Id="rId16" Type="http://schemas.openxmlformats.org/officeDocument/2006/relationships/printerSettings" Target="../printerSettings/printerSettings2.bin"/><Relationship Id="rId1" Type="http://schemas.openxmlformats.org/officeDocument/2006/relationships/hyperlink" Target="https://www.startech.com.bd/" TargetMode="External"/><Relationship Id="rId6" Type="http://schemas.openxmlformats.org/officeDocument/2006/relationships/hyperlink" Target="mailto:tahminaislam011@gmail.com" TargetMode="External"/><Relationship Id="rId11" Type="http://schemas.openxmlformats.org/officeDocument/2006/relationships/hyperlink" Target="mailto:tahminaislam011@gmail.com" TargetMode="External"/><Relationship Id="rId5" Type="http://schemas.openxmlformats.org/officeDocument/2006/relationships/hyperlink" Target="mailto:tahminaislam011@gmail.com" TargetMode="External"/><Relationship Id="rId15" Type="http://schemas.openxmlformats.org/officeDocument/2006/relationships/hyperlink" Target="mailto:tahminaislam011@gmail.com" TargetMode="External"/><Relationship Id="rId10" Type="http://schemas.openxmlformats.org/officeDocument/2006/relationships/hyperlink" Target="https://drive.google.com/file/d/1lb7VRCj8MDObL1fXgrZ38Psxf8awqo4S/view?usp=sharing" TargetMode="External"/><Relationship Id="rId4" Type="http://schemas.openxmlformats.org/officeDocument/2006/relationships/hyperlink" Target="mailto:tahminaislam011@gmail.com" TargetMode="External"/><Relationship Id="rId9" Type="http://schemas.openxmlformats.org/officeDocument/2006/relationships/hyperlink" Target="https://drive.google.com/file/d/1nugkLyUUGeneYUNDQBpWDlqH3nibntH6/view?usp=sharing" TargetMode="External"/><Relationship Id="rId14" Type="http://schemas.openxmlformats.org/officeDocument/2006/relationships/hyperlink" Target="mailto:abc.34.hju@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lb7VRCj8MDObL1fXgrZ38Psxf8awqo4S/view?usp=sharing" TargetMode="External"/><Relationship Id="rId2" Type="http://schemas.openxmlformats.org/officeDocument/2006/relationships/hyperlink" Target="https://drive.google.com/file/d/1nugkLyUUGeneYUNDQBpWDlqH3nibntH6/view?usp=sharing" TargetMode="External"/><Relationship Id="rId1" Type="http://schemas.openxmlformats.org/officeDocument/2006/relationships/hyperlink" Target="https://drive.google.com/file/d/1esCJ9AxILTHBpJfRBQwbQrCOzgqe5I_3/view?usp=sharing" TargetMode="External"/><Relationship Id="rId4" Type="http://schemas.openxmlformats.org/officeDocument/2006/relationships/hyperlink" Target="https://drive.google.com/file/d/1X-jxEPG4WFjE2zdnvtaoBZXObuYkmM0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I1000"/>
  <sheetViews>
    <sheetView topLeftCell="C1" zoomScale="130" zoomScaleNormal="130" workbookViewId="0">
      <selection activeCell="G5" sqref="G5"/>
    </sheetView>
  </sheetViews>
  <sheetFormatPr defaultColWidth="14.42578125" defaultRowHeight="15" customHeight="1"/>
  <cols>
    <col min="1" max="4" width="12.85546875" customWidth="1"/>
    <col min="5" max="5" width="38.140625" customWidth="1"/>
    <col min="6" max="6" width="12.85546875" customWidth="1"/>
    <col min="7" max="7" width="54" customWidth="1"/>
    <col min="8" max="8" width="38.140625" customWidth="1"/>
    <col min="9" max="26" width="12.85546875" customWidth="1"/>
  </cols>
  <sheetData>
    <row r="1" spans="5:9" ht="12.75" customHeight="1"/>
    <row r="2" spans="5:9" ht="12.75" customHeight="1"/>
    <row r="3" spans="5:9" ht="12.75" customHeight="1"/>
    <row r="4" spans="5:9" ht="12.75" customHeight="1">
      <c r="G4" s="1"/>
    </row>
    <row r="5" spans="5:9" ht="12.75" customHeight="1">
      <c r="E5" s="2"/>
      <c r="F5" s="2"/>
      <c r="G5" s="350" t="s">
        <v>0</v>
      </c>
      <c r="H5" s="2"/>
      <c r="I5" s="2"/>
    </row>
    <row r="6" spans="5:9" ht="12.75" customHeight="1">
      <c r="E6" s="2"/>
      <c r="G6" s="1"/>
    </row>
    <row r="7" spans="5:9" ht="12.75" customHeight="1">
      <c r="E7" s="2"/>
    </row>
    <row r="8" spans="5:9" ht="12.75" customHeight="1">
      <c r="E8" s="2"/>
    </row>
    <row r="9" spans="5:9" ht="12.75" customHeight="1">
      <c r="E9" s="2"/>
    </row>
    <row r="10" spans="5:9" ht="12.75" customHeight="1">
      <c r="E10" s="2"/>
      <c r="H10" s="3"/>
    </row>
    <row r="11" spans="5:9" ht="12.75" customHeight="1"/>
    <row r="12" spans="5:9" ht="12.75" customHeight="1"/>
    <row r="13" spans="5:9" ht="12.75" customHeight="1"/>
    <row r="14" spans="5:9" ht="12.75" customHeight="1"/>
    <row r="15" spans="5:9" ht="12.75" customHeight="1"/>
    <row r="16" spans="5:9"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ef="G5" r:id="rId1" xr:uid="{00000000-0004-0000-0000-000000000000}"/>
  </hyperlinks>
  <pageMargins left="0.78749999999999998" right="0.78749999999999998" top="1.05277777777778" bottom="1.05277777777778" header="0" footer="0"/>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1:Y999"/>
  <sheetViews>
    <sheetView topLeftCell="A8" zoomScale="66" zoomScaleNormal="66" workbookViewId="0">
      <selection activeCell="Y15" sqref="Y15"/>
    </sheetView>
  </sheetViews>
  <sheetFormatPr defaultColWidth="14.42578125" defaultRowHeight="15" customHeight="1"/>
  <cols>
    <col min="1" max="30" width="8.5703125" customWidth="1"/>
  </cols>
  <sheetData>
    <row r="1" spans="25:25" ht="12.75" customHeight="1"/>
    <row r="2" spans="25:25" ht="12.75" customHeight="1"/>
    <row r="3" spans="25:25" ht="12.75" customHeight="1"/>
    <row r="4" spans="25:25" ht="12.75" customHeight="1"/>
    <row r="5" spans="25:25" ht="12.75" customHeight="1"/>
    <row r="6" spans="25:25" ht="12.75" customHeight="1"/>
    <row r="7" spans="25:25" ht="12.75" customHeight="1"/>
    <row r="8" spans="25:25" ht="12.75" customHeight="1"/>
    <row r="9" spans="25:25" ht="12.75" customHeight="1"/>
    <row r="10" spans="25:25" ht="12.75" customHeight="1"/>
    <row r="11" spans="25:25" ht="12.75" customHeight="1"/>
    <row r="12" spans="25:25" ht="12.75" customHeight="1"/>
    <row r="13" spans="25:25" ht="12.75" customHeight="1"/>
    <row r="14" spans="25:25" ht="12.75" customHeight="1"/>
    <row r="15" spans="25:25" ht="12.75" customHeight="1">
      <c r="Y15" s="302" t="s">
        <v>326</v>
      </c>
    </row>
    <row r="16" spans="25:25" ht="12.75" customHeight="1"/>
    <row r="17" spans="23:23" ht="12.75" customHeight="1"/>
    <row r="18" spans="23:23" ht="12.75" customHeight="1"/>
    <row r="19" spans="23:23" ht="12.75" customHeight="1"/>
    <row r="20" spans="23:23" ht="12.75" customHeight="1"/>
    <row r="21" spans="23:23" ht="12.75" customHeight="1"/>
    <row r="22" spans="23:23" ht="12.75" customHeight="1"/>
    <row r="23" spans="23:23" ht="12.75" customHeight="1"/>
    <row r="24" spans="23:23" ht="12.75" customHeight="1"/>
    <row r="25" spans="23:23" ht="12.75" customHeight="1"/>
    <row r="26" spans="23:23" ht="12.75" customHeight="1"/>
    <row r="27" spans="23:23" ht="12.75" customHeight="1"/>
    <row r="28" spans="23:23" ht="12.75" customHeight="1"/>
    <row r="29" spans="23:23" ht="12.75" customHeight="1"/>
    <row r="30" spans="23:23" ht="12.75" customHeight="1">
      <c r="W30" s="4"/>
    </row>
    <row r="31" spans="23:23" ht="12.75" customHeight="1"/>
    <row r="32" spans="23:23" ht="12.75" customHeight="1"/>
    <row r="33" spans="21:24" ht="12.75" customHeight="1"/>
    <row r="34" spans="21:24" ht="12.75" customHeight="1">
      <c r="X34" s="5"/>
    </row>
    <row r="35" spans="21:24" ht="12.75" customHeight="1"/>
    <row r="36" spans="21:24" ht="12.75" customHeight="1">
      <c r="U36" s="6"/>
    </row>
    <row r="37" spans="21:24" ht="12.75" customHeight="1"/>
    <row r="38" spans="21:24" ht="12.75" customHeight="1">
      <c r="U38" s="7"/>
    </row>
    <row r="39" spans="21:24" ht="12.75" customHeight="1"/>
    <row r="40" spans="21:24" ht="12.75" customHeight="1"/>
    <row r="41" spans="21:24" ht="12.75" customHeight="1"/>
    <row r="42" spans="21:24" ht="12.75" customHeight="1"/>
    <row r="43" spans="21:24" ht="12.75" customHeight="1"/>
    <row r="44" spans="21:24" ht="12.75" customHeight="1"/>
    <row r="45" spans="21:24" ht="12.75" customHeight="1"/>
    <row r="46" spans="21:24" ht="12.75" customHeight="1"/>
    <row r="47" spans="21:24" ht="12.75" customHeight="1"/>
    <row r="48" spans="21:2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hyperlinks>
    <hyperlink ref="Y15" r:id="rId1" xr:uid="{B41FE674-FB50-465A-95BF-A3A0999D3D30}"/>
  </hyperlinks>
  <pageMargins left="0.7" right="0.7" top="0.75" bottom="0.75" header="0" footer="0"/>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3"/>
  <sheetViews>
    <sheetView topLeftCell="C7" workbookViewId="0">
      <selection activeCell="A14" sqref="A14"/>
    </sheetView>
  </sheetViews>
  <sheetFormatPr defaultColWidth="14.42578125" defaultRowHeight="15" customHeight="1"/>
  <cols>
    <col min="1" max="1" width="21" customWidth="1"/>
    <col min="2" max="2" width="19.85546875" customWidth="1"/>
    <col min="3" max="3" width="54.85546875" customWidth="1"/>
    <col min="4" max="4" width="9.140625" customWidth="1"/>
    <col min="5" max="5" width="24.42578125" customWidth="1"/>
    <col min="6" max="26" width="8.85546875" customWidth="1"/>
  </cols>
  <sheetData>
    <row r="1" spans="1:26" ht="12.75" customHeight="1">
      <c r="A1" s="8"/>
      <c r="B1" s="9"/>
      <c r="C1" s="10"/>
      <c r="D1" s="8"/>
      <c r="E1" s="8"/>
      <c r="F1" s="4"/>
      <c r="G1" s="4"/>
      <c r="H1" s="4"/>
      <c r="I1" s="4"/>
      <c r="J1" s="4"/>
      <c r="K1" s="4"/>
      <c r="L1" s="4"/>
      <c r="M1" s="4"/>
      <c r="N1" s="4"/>
      <c r="O1" s="4"/>
      <c r="P1" s="4"/>
      <c r="Q1" s="4"/>
      <c r="R1" s="4"/>
      <c r="S1" s="4"/>
      <c r="T1" s="4"/>
      <c r="U1" s="4"/>
      <c r="V1" s="4"/>
      <c r="W1" s="4"/>
      <c r="X1" s="4"/>
      <c r="Y1" s="4"/>
      <c r="Z1" s="4"/>
    </row>
    <row r="2" spans="1:26" ht="12.75" customHeight="1">
      <c r="A2" s="8"/>
      <c r="B2" s="9"/>
      <c r="C2" s="10"/>
      <c r="D2" s="8"/>
      <c r="E2" s="8"/>
      <c r="F2" s="4"/>
      <c r="G2" s="4"/>
      <c r="H2" s="4"/>
      <c r="I2" s="4"/>
      <c r="J2" s="4"/>
      <c r="K2" s="4"/>
      <c r="L2" s="4"/>
      <c r="M2" s="4"/>
      <c r="N2" s="4"/>
      <c r="O2" s="4"/>
      <c r="P2" s="4"/>
      <c r="Q2" s="4"/>
      <c r="R2" s="4"/>
      <c r="S2" s="4"/>
      <c r="T2" s="4"/>
      <c r="U2" s="4"/>
      <c r="V2" s="4"/>
      <c r="W2" s="4"/>
      <c r="X2" s="4"/>
      <c r="Y2" s="4"/>
      <c r="Z2" s="4"/>
    </row>
    <row r="3" spans="1:26" ht="12.75" customHeight="1">
      <c r="A3" s="11"/>
      <c r="B3" s="12"/>
      <c r="C3" s="13"/>
      <c r="D3" s="14"/>
      <c r="E3" s="14"/>
      <c r="F3" s="4"/>
      <c r="G3" s="4"/>
      <c r="H3" s="4"/>
      <c r="I3" s="4"/>
      <c r="J3" s="4"/>
      <c r="K3" s="4"/>
      <c r="L3" s="4"/>
      <c r="M3" s="4"/>
      <c r="N3" s="4"/>
      <c r="O3" s="4"/>
      <c r="P3" s="4"/>
      <c r="Q3" s="4"/>
      <c r="R3" s="4"/>
      <c r="S3" s="4"/>
      <c r="T3" s="4"/>
      <c r="U3" s="4"/>
      <c r="V3" s="4"/>
      <c r="W3" s="4"/>
      <c r="X3" s="4"/>
      <c r="Y3" s="4"/>
      <c r="Z3" s="4"/>
    </row>
    <row r="4" spans="1:26" ht="12.75" customHeight="1">
      <c r="A4" s="15" t="s">
        <v>1</v>
      </c>
      <c r="B4" s="409" t="s">
        <v>148</v>
      </c>
      <c r="C4" s="410"/>
      <c r="D4" s="14"/>
      <c r="E4" s="14"/>
      <c r="F4" s="4"/>
      <c r="G4" s="4"/>
      <c r="H4" s="4"/>
      <c r="I4" s="4"/>
      <c r="J4" s="4"/>
      <c r="K4" s="4"/>
      <c r="L4" s="4"/>
      <c r="M4" s="4"/>
      <c r="N4" s="4"/>
      <c r="O4" s="4"/>
      <c r="P4" s="4"/>
      <c r="Q4" s="4"/>
      <c r="R4" s="4"/>
      <c r="S4" s="4"/>
      <c r="T4" s="4"/>
      <c r="U4" s="4"/>
      <c r="V4" s="4"/>
      <c r="W4" s="4"/>
      <c r="X4" s="4"/>
      <c r="Y4" s="4"/>
      <c r="Z4" s="4"/>
    </row>
    <row r="5" spans="1:26" ht="12.75" customHeight="1">
      <c r="A5" s="15" t="s">
        <v>2</v>
      </c>
      <c r="B5" s="411" t="s">
        <v>3</v>
      </c>
      <c r="C5" s="410"/>
      <c r="D5" s="14"/>
      <c r="E5" s="14"/>
      <c r="F5" s="4"/>
      <c r="G5" s="4"/>
      <c r="H5" s="4"/>
      <c r="I5" s="4"/>
      <c r="J5" s="4"/>
      <c r="K5" s="4"/>
      <c r="L5" s="4"/>
      <c r="M5" s="4"/>
      <c r="N5" s="4"/>
      <c r="O5" s="4"/>
      <c r="P5" s="4"/>
      <c r="Q5" s="4"/>
      <c r="R5" s="4"/>
      <c r="S5" s="4"/>
      <c r="T5" s="4"/>
      <c r="U5" s="4"/>
      <c r="V5" s="4"/>
      <c r="W5" s="4"/>
      <c r="X5" s="4"/>
      <c r="Y5" s="4"/>
      <c r="Z5" s="4"/>
    </row>
    <row r="6" spans="1:26" ht="12.75" customHeight="1">
      <c r="A6" s="15" t="s">
        <v>4</v>
      </c>
      <c r="B6" s="411" t="s">
        <v>149</v>
      </c>
      <c r="C6" s="410"/>
      <c r="D6" s="14"/>
      <c r="E6" s="14"/>
      <c r="F6" s="4"/>
      <c r="G6" s="4"/>
      <c r="H6" s="4"/>
      <c r="I6" s="4"/>
      <c r="J6" s="4"/>
      <c r="K6" s="4"/>
      <c r="L6" s="4"/>
      <c r="M6" s="4"/>
      <c r="N6" s="4"/>
      <c r="O6" s="4"/>
      <c r="P6" s="4"/>
      <c r="Q6" s="4"/>
      <c r="R6" s="4"/>
      <c r="S6" s="4"/>
      <c r="T6" s="4"/>
      <c r="U6" s="4"/>
      <c r="V6" s="4"/>
      <c r="W6" s="4"/>
      <c r="X6" s="4"/>
      <c r="Y6" s="4"/>
      <c r="Z6" s="4"/>
    </row>
    <row r="7" spans="1:26" ht="12.75" customHeight="1">
      <c r="A7" s="15" t="s">
        <v>5</v>
      </c>
      <c r="B7" s="412">
        <v>46298</v>
      </c>
      <c r="C7" s="410"/>
      <c r="D7" s="14"/>
      <c r="E7" s="14"/>
      <c r="F7" s="4"/>
      <c r="G7" s="4"/>
      <c r="H7" s="4"/>
      <c r="I7" s="4"/>
      <c r="J7" s="4"/>
      <c r="K7" s="4"/>
      <c r="L7" s="4"/>
      <c r="M7" s="4"/>
      <c r="N7" s="4"/>
      <c r="O7" s="4"/>
      <c r="P7" s="4"/>
      <c r="Q7" s="4"/>
      <c r="R7" s="4"/>
      <c r="S7" s="4"/>
      <c r="T7" s="4"/>
      <c r="U7" s="4"/>
      <c r="V7" s="4"/>
      <c r="W7" s="4"/>
      <c r="X7" s="4"/>
      <c r="Y7" s="4"/>
      <c r="Z7" s="4"/>
    </row>
    <row r="8" spans="1:26" ht="12.75" customHeight="1">
      <c r="A8" s="15" t="s">
        <v>6</v>
      </c>
      <c r="B8" s="412">
        <v>46359</v>
      </c>
      <c r="C8" s="410"/>
      <c r="D8" s="14"/>
      <c r="E8" s="14"/>
      <c r="F8" s="4"/>
      <c r="G8" s="4"/>
      <c r="H8" s="4"/>
      <c r="I8" s="4"/>
      <c r="J8" s="4"/>
      <c r="K8" s="4"/>
      <c r="L8" s="4"/>
      <c r="M8" s="4"/>
      <c r="N8" s="4"/>
      <c r="O8" s="4"/>
      <c r="P8" s="4"/>
      <c r="Q8" s="4"/>
      <c r="R8" s="4"/>
      <c r="S8" s="4"/>
      <c r="T8" s="4"/>
      <c r="U8" s="4"/>
      <c r="V8" s="4"/>
      <c r="W8" s="4"/>
      <c r="X8" s="4"/>
      <c r="Y8" s="4"/>
      <c r="Z8" s="4"/>
    </row>
    <row r="9" spans="1:26" ht="12.75" customHeight="1">
      <c r="A9" s="14"/>
      <c r="B9" s="16"/>
      <c r="C9" s="17"/>
      <c r="D9" s="14"/>
      <c r="E9" s="14"/>
      <c r="F9" s="4"/>
      <c r="G9" s="4"/>
      <c r="H9" s="4"/>
      <c r="I9" s="4"/>
      <c r="J9" s="4"/>
      <c r="K9" s="4"/>
      <c r="L9" s="4"/>
      <c r="M9" s="4"/>
      <c r="N9" s="4"/>
      <c r="O9" s="4"/>
      <c r="P9" s="4"/>
      <c r="Q9" s="4"/>
      <c r="R9" s="4"/>
      <c r="S9" s="4"/>
      <c r="T9" s="4"/>
      <c r="U9" s="4"/>
      <c r="V9" s="4"/>
      <c r="W9" s="4"/>
      <c r="X9" s="4"/>
      <c r="Y9" s="4"/>
      <c r="Z9" s="4"/>
    </row>
    <row r="10" spans="1:26" ht="12.75" customHeight="1">
      <c r="A10" s="14"/>
      <c r="B10" s="16"/>
      <c r="C10" s="17"/>
      <c r="D10" s="14"/>
      <c r="E10" s="14"/>
      <c r="F10" s="4"/>
      <c r="G10" s="4"/>
      <c r="H10" s="4"/>
      <c r="I10" s="4"/>
      <c r="J10" s="4"/>
      <c r="K10" s="4"/>
      <c r="L10" s="4"/>
      <c r="M10" s="4"/>
      <c r="N10" s="4"/>
      <c r="O10" s="4"/>
      <c r="P10" s="4"/>
      <c r="Q10" s="4"/>
      <c r="R10" s="4"/>
      <c r="S10" s="4"/>
      <c r="T10" s="4"/>
      <c r="U10" s="4"/>
      <c r="V10" s="4"/>
      <c r="W10" s="4"/>
      <c r="X10" s="4"/>
      <c r="Y10" s="4"/>
      <c r="Z10" s="4"/>
    </row>
    <row r="11" spans="1:26" ht="12.75" customHeight="1">
      <c r="A11" s="18"/>
      <c r="B11" s="12"/>
      <c r="C11" s="13"/>
      <c r="D11" s="14"/>
      <c r="E11" s="14"/>
      <c r="F11" s="4"/>
      <c r="G11" s="4"/>
      <c r="H11" s="4"/>
      <c r="I11" s="4"/>
      <c r="J11" s="4"/>
      <c r="K11" s="4"/>
      <c r="L11" s="4"/>
      <c r="M11" s="4"/>
      <c r="N11" s="4"/>
      <c r="O11" s="4"/>
      <c r="P11" s="4"/>
      <c r="Q11" s="4"/>
      <c r="R11" s="4"/>
      <c r="S11" s="4"/>
      <c r="T11" s="4"/>
      <c r="U11" s="4"/>
      <c r="V11" s="4"/>
      <c r="W11" s="4"/>
      <c r="X11" s="4"/>
      <c r="Y11" s="4"/>
      <c r="Z11" s="4"/>
    </row>
    <row r="12" spans="1:26" ht="12.75" customHeight="1">
      <c r="A12" s="19"/>
      <c r="B12" s="20"/>
      <c r="C12" s="21"/>
      <c r="D12" s="22"/>
      <c r="E12" s="22"/>
      <c r="F12" s="4"/>
      <c r="G12" s="4"/>
      <c r="H12" s="4"/>
      <c r="I12" s="4"/>
      <c r="J12" s="4"/>
      <c r="K12" s="4"/>
      <c r="L12" s="4"/>
      <c r="M12" s="4"/>
      <c r="N12" s="4"/>
      <c r="O12" s="4"/>
      <c r="P12" s="4"/>
      <c r="Q12" s="4"/>
      <c r="R12" s="4"/>
      <c r="S12" s="4"/>
      <c r="T12" s="4"/>
      <c r="U12" s="4"/>
      <c r="V12" s="4"/>
      <c r="W12" s="4"/>
      <c r="X12" s="4"/>
      <c r="Y12" s="4"/>
      <c r="Z12" s="4"/>
    </row>
    <row r="13" spans="1:26" ht="12.75" customHeight="1">
      <c r="A13" s="23" t="s">
        <v>7</v>
      </c>
      <c r="B13" s="24" t="s">
        <v>8</v>
      </c>
      <c r="C13" s="25" t="s">
        <v>9</v>
      </c>
      <c r="D13" s="24" t="s">
        <v>10</v>
      </c>
      <c r="E13" s="24" t="s">
        <v>11</v>
      </c>
      <c r="F13" s="26"/>
      <c r="G13" s="26"/>
      <c r="H13" s="26"/>
      <c r="I13" s="26"/>
      <c r="J13" s="26"/>
      <c r="K13" s="26"/>
      <c r="L13" s="26"/>
      <c r="M13" s="26"/>
      <c r="N13" s="26"/>
      <c r="O13" s="26"/>
      <c r="P13" s="26"/>
      <c r="Q13" s="26"/>
      <c r="R13" s="26"/>
      <c r="S13" s="26"/>
      <c r="T13" s="26"/>
      <c r="U13" s="26"/>
      <c r="V13" s="26"/>
      <c r="W13" s="26"/>
      <c r="X13" s="26"/>
      <c r="Y13" s="26"/>
      <c r="Z13" s="26"/>
    </row>
    <row r="14" spans="1:26" ht="12.75" customHeight="1">
      <c r="A14" s="27" t="s">
        <v>324</v>
      </c>
      <c r="B14" s="28"/>
      <c r="C14" s="29" t="s">
        <v>12</v>
      </c>
      <c r="D14" s="27" t="s">
        <v>13</v>
      </c>
      <c r="E14" s="27">
        <v>1</v>
      </c>
      <c r="F14" s="4"/>
      <c r="G14" s="4"/>
      <c r="H14" s="4"/>
      <c r="I14" s="4"/>
      <c r="J14" s="4"/>
      <c r="K14" s="4"/>
      <c r="L14" s="4"/>
      <c r="M14" s="4"/>
      <c r="N14" s="4"/>
      <c r="O14" s="4"/>
      <c r="P14" s="4"/>
      <c r="Q14" s="4"/>
      <c r="R14" s="4"/>
      <c r="S14" s="4"/>
      <c r="T14" s="4"/>
      <c r="U14" s="4"/>
      <c r="V14" s="4"/>
      <c r="W14" s="4"/>
      <c r="X14" s="4"/>
      <c r="Y14" s="4"/>
      <c r="Z14" s="4"/>
    </row>
    <row r="15" spans="1:26" ht="12.75" customHeight="1">
      <c r="A15" s="349" t="s">
        <v>323</v>
      </c>
      <c r="B15" s="28"/>
      <c r="C15" s="30" t="s">
        <v>155</v>
      </c>
      <c r="D15" s="27" t="s">
        <v>14</v>
      </c>
      <c r="E15" s="27">
        <v>40</v>
      </c>
      <c r="F15" s="4"/>
      <c r="G15" s="4"/>
      <c r="H15" s="4"/>
      <c r="I15" s="4"/>
      <c r="J15" s="4"/>
      <c r="K15" s="4"/>
      <c r="L15" s="4"/>
      <c r="M15" s="4"/>
      <c r="N15" s="4"/>
      <c r="O15" s="4"/>
      <c r="P15" s="4"/>
      <c r="Q15" s="4"/>
      <c r="R15" s="4"/>
      <c r="S15" s="4"/>
      <c r="T15" s="4"/>
      <c r="U15" s="4"/>
      <c r="V15" s="4"/>
      <c r="W15" s="4"/>
      <c r="X15" s="4"/>
      <c r="Y15" s="4"/>
      <c r="Z15" s="4"/>
    </row>
    <row r="16" spans="1:26" ht="12.75" customHeight="1">
      <c r="A16" s="31"/>
      <c r="B16" s="32"/>
      <c r="C16" s="33"/>
      <c r="D16" s="34"/>
      <c r="E16" s="31"/>
      <c r="F16" s="35"/>
      <c r="G16" s="35"/>
      <c r="H16" s="35"/>
      <c r="I16" s="35"/>
      <c r="J16" s="35"/>
      <c r="K16" s="35"/>
      <c r="L16" s="35"/>
      <c r="M16" s="35"/>
      <c r="N16" s="35"/>
      <c r="O16" s="35"/>
      <c r="P16" s="35"/>
      <c r="Q16" s="35"/>
      <c r="R16" s="35"/>
      <c r="S16" s="35"/>
      <c r="T16" s="35"/>
      <c r="U16" s="35"/>
      <c r="V16" s="35"/>
      <c r="W16" s="35"/>
      <c r="X16" s="35"/>
      <c r="Y16" s="35"/>
      <c r="Z16" s="35"/>
    </row>
    <row r="17" spans="1:26" ht="12.75" customHeight="1">
      <c r="A17" s="27" t="s">
        <v>322</v>
      </c>
      <c r="B17" s="28"/>
      <c r="C17" s="30" t="s">
        <v>156</v>
      </c>
      <c r="D17" s="36" t="s">
        <v>13</v>
      </c>
      <c r="E17" s="27">
        <v>16</v>
      </c>
      <c r="F17" s="4"/>
      <c r="G17" s="4"/>
      <c r="H17" s="4"/>
      <c r="I17" s="4"/>
      <c r="J17" s="4"/>
      <c r="K17" s="4"/>
      <c r="L17" s="4"/>
      <c r="M17" s="4"/>
      <c r="N17" s="4"/>
      <c r="O17" s="4"/>
      <c r="P17" s="4"/>
      <c r="Q17" s="4"/>
      <c r="R17" s="4"/>
      <c r="S17" s="4"/>
      <c r="T17" s="4"/>
      <c r="U17" s="4"/>
      <c r="V17" s="4"/>
      <c r="W17" s="4"/>
      <c r="X17" s="4"/>
      <c r="Y17" s="4"/>
      <c r="Z17" s="4"/>
    </row>
    <row r="18" spans="1:26" ht="12.75" customHeight="1">
      <c r="A18" s="37"/>
      <c r="B18" s="38"/>
      <c r="C18" s="39"/>
      <c r="D18" s="40"/>
      <c r="E18" s="37"/>
      <c r="F18" s="41"/>
      <c r="G18" s="41"/>
      <c r="H18" s="41"/>
      <c r="I18" s="41"/>
      <c r="J18" s="41"/>
      <c r="K18" s="41"/>
      <c r="L18" s="41"/>
      <c r="M18" s="41"/>
      <c r="N18" s="41"/>
      <c r="O18" s="41"/>
      <c r="P18" s="41"/>
      <c r="Q18" s="41"/>
      <c r="R18" s="41"/>
      <c r="S18" s="41"/>
      <c r="T18" s="41"/>
      <c r="U18" s="41"/>
      <c r="V18" s="41"/>
      <c r="W18" s="41"/>
      <c r="X18" s="41"/>
      <c r="Y18" s="41"/>
      <c r="Z18" s="41"/>
    </row>
    <row r="19" spans="1:26" ht="12.75" customHeight="1">
      <c r="A19" s="27" t="s">
        <v>321</v>
      </c>
      <c r="B19" s="28"/>
      <c r="C19" s="30" t="s">
        <v>150</v>
      </c>
      <c r="D19" s="36" t="s">
        <v>14</v>
      </c>
      <c r="E19" s="27">
        <v>2</v>
      </c>
      <c r="F19" s="4"/>
      <c r="G19" s="4"/>
      <c r="H19" s="4"/>
      <c r="I19" s="4"/>
      <c r="J19" s="4"/>
      <c r="K19" s="4"/>
      <c r="L19" s="4"/>
      <c r="M19" s="4"/>
      <c r="N19" s="4"/>
      <c r="O19" s="4"/>
      <c r="P19" s="4"/>
      <c r="Q19" s="4"/>
      <c r="R19" s="4"/>
      <c r="S19" s="4"/>
      <c r="T19" s="4"/>
      <c r="U19" s="4"/>
      <c r="V19" s="4"/>
      <c r="W19" s="4"/>
      <c r="X19" s="4"/>
      <c r="Y19" s="4"/>
      <c r="Z19" s="4"/>
    </row>
    <row r="20" spans="1:26" ht="12.75" customHeight="1">
      <c r="A20" s="37"/>
      <c r="B20" s="38"/>
      <c r="C20" s="39"/>
      <c r="D20" s="40"/>
      <c r="E20" s="37"/>
      <c r="F20" s="41"/>
      <c r="G20" s="41"/>
      <c r="H20" s="41"/>
      <c r="I20" s="41"/>
      <c r="J20" s="41"/>
      <c r="K20" s="41"/>
      <c r="L20" s="41"/>
      <c r="M20" s="41"/>
      <c r="N20" s="41"/>
      <c r="O20" s="41"/>
      <c r="P20" s="41"/>
      <c r="Q20" s="41"/>
      <c r="R20" s="41"/>
      <c r="S20" s="41"/>
      <c r="T20" s="41"/>
      <c r="U20" s="41"/>
      <c r="V20" s="41"/>
      <c r="W20" s="41"/>
      <c r="X20" s="41"/>
      <c r="Y20" s="41"/>
      <c r="Z20" s="41"/>
    </row>
    <row r="21" spans="1:26" ht="12.75" customHeight="1">
      <c r="A21" s="27" t="s">
        <v>320</v>
      </c>
      <c r="B21" s="28"/>
      <c r="C21" s="30" t="s">
        <v>157</v>
      </c>
      <c r="D21" s="36" t="s">
        <v>14</v>
      </c>
      <c r="E21" s="27"/>
      <c r="F21" s="4"/>
      <c r="G21" s="4"/>
      <c r="H21" s="4"/>
      <c r="I21" s="4"/>
      <c r="J21" s="4"/>
      <c r="K21" s="4"/>
      <c r="L21" s="4"/>
      <c r="M21" s="4"/>
      <c r="N21" s="4"/>
      <c r="O21" s="4"/>
      <c r="P21" s="4"/>
      <c r="Q21" s="4"/>
      <c r="R21" s="4"/>
      <c r="S21" s="4"/>
      <c r="T21" s="4"/>
      <c r="U21" s="4"/>
      <c r="V21" s="4"/>
      <c r="W21" s="4"/>
      <c r="X21" s="4"/>
      <c r="Y21" s="4"/>
      <c r="Z21" s="4"/>
    </row>
    <row r="22" spans="1:26" ht="12.75" customHeight="1">
      <c r="A22" s="4"/>
      <c r="B22" s="4"/>
      <c r="C22" s="4"/>
      <c r="D22" s="4"/>
      <c r="E22" s="4"/>
      <c r="F22" s="4"/>
      <c r="G22" s="4"/>
      <c r="H22" s="4"/>
      <c r="I22" s="4"/>
      <c r="J22" s="4"/>
      <c r="K22" s="4"/>
      <c r="L22" s="4"/>
      <c r="M22" s="4"/>
      <c r="N22" s="4"/>
      <c r="O22" s="4"/>
      <c r="P22" s="4"/>
      <c r="Q22" s="4"/>
      <c r="R22" s="4"/>
    </row>
    <row r="23" spans="1:26" ht="12.75" customHeight="1">
      <c r="A23" s="4"/>
      <c r="B23" s="4"/>
      <c r="C23" s="4"/>
      <c r="D23" s="4"/>
      <c r="E23" s="4"/>
      <c r="F23" s="4"/>
      <c r="G23" s="4"/>
      <c r="H23" s="4"/>
      <c r="I23" s="4"/>
      <c r="J23" s="4"/>
      <c r="K23" s="4"/>
      <c r="L23" s="4"/>
      <c r="M23" s="4"/>
      <c r="N23" s="4"/>
      <c r="O23" s="4"/>
      <c r="P23" s="4"/>
      <c r="Q23" s="4"/>
      <c r="R23" s="4"/>
      <c r="S23" s="4"/>
      <c r="T23" s="4"/>
    </row>
    <row r="24" spans="1:26" ht="12.75" customHeight="1">
      <c r="A24" s="4"/>
      <c r="B24" s="4"/>
      <c r="C24" s="4"/>
      <c r="D24" s="4"/>
      <c r="E24" s="4"/>
      <c r="F24" s="4"/>
      <c r="G24" s="4"/>
      <c r="H24" s="4"/>
      <c r="I24" s="4"/>
      <c r="J24" s="4"/>
      <c r="K24" s="4"/>
      <c r="L24" s="4"/>
      <c r="M24" s="4"/>
      <c r="N24" s="4"/>
      <c r="O24" s="4"/>
      <c r="P24" s="4"/>
      <c r="Q24" s="4"/>
      <c r="R24" s="4"/>
      <c r="S24" s="4"/>
      <c r="T24" s="4"/>
    </row>
    <row r="25" spans="1:26" ht="12.75" customHeight="1">
      <c r="A25" s="4"/>
      <c r="B25" s="4"/>
      <c r="C25" s="4"/>
      <c r="D25" s="4"/>
      <c r="E25" s="4"/>
      <c r="F25" s="4"/>
      <c r="G25" s="4"/>
      <c r="H25" s="4"/>
      <c r="I25" s="4"/>
      <c r="J25" s="4"/>
      <c r="K25" s="4"/>
      <c r="L25" s="4"/>
      <c r="M25" s="4"/>
      <c r="N25" s="4"/>
      <c r="O25" s="4"/>
      <c r="P25" s="4"/>
      <c r="Q25" s="4"/>
      <c r="R25" s="4"/>
      <c r="S25" s="4"/>
      <c r="T25" s="4"/>
    </row>
    <row r="26" spans="1:26" ht="12.75" customHeight="1">
      <c r="A26" s="4"/>
      <c r="B26" s="4"/>
      <c r="C26" s="4"/>
      <c r="D26" s="4"/>
      <c r="E26" s="4"/>
      <c r="F26" s="4"/>
      <c r="G26" s="4"/>
      <c r="H26" s="4"/>
      <c r="I26" s="4"/>
      <c r="J26" s="4"/>
      <c r="K26" s="4"/>
      <c r="L26" s="4"/>
      <c r="M26" s="4"/>
      <c r="N26" s="4"/>
      <c r="O26" s="4"/>
      <c r="P26" s="4"/>
      <c r="Q26" s="4"/>
      <c r="R26" s="4"/>
      <c r="S26" s="4"/>
      <c r="T26" s="4"/>
    </row>
    <row r="27" spans="1:26" ht="12.75" customHeight="1">
      <c r="A27" s="4"/>
      <c r="B27" s="4"/>
      <c r="C27" s="4"/>
      <c r="D27" s="4"/>
      <c r="E27" s="4"/>
      <c r="F27" s="4"/>
      <c r="G27" s="4"/>
      <c r="H27" s="4"/>
      <c r="I27" s="4"/>
      <c r="J27" s="4"/>
      <c r="K27" s="4"/>
      <c r="L27" s="4"/>
      <c r="M27" s="4"/>
      <c r="N27" s="4"/>
      <c r="O27" s="4"/>
      <c r="P27" s="4"/>
      <c r="Q27" s="4"/>
      <c r="R27" s="4"/>
      <c r="S27" s="4"/>
      <c r="T27" s="4"/>
    </row>
    <row r="28" spans="1:26" ht="12.75" customHeight="1">
      <c r="A28" s="8"/>
      <c r="B28" s="9"/>
      <c r="C28" s="10"/>
      <c r="D28" s="4"/>
      <c r="E28" s="4"/>
      <c r="F28" s="4"/>
      <c r="G28" s="4"/>
      <c r="H28" s="4"/>
      <c r="I28" s="4"/>
      <c r="J28" s="4"/>
      <c r="K28" s="4"/>
      <c r="L28" s="4"/>
      <c r="M28" s="4"/>
      <c r="N28" s="4"/>
      <c r="O28" s="4"/>
      <c r="P28" s="4"/>
      <c r="Q28" s="4"/>
      <c r="R28" s="4"/>
      <c r="S28" s="4"/>
      <c r="T28" s="4"/>
    </row>
    <row r="29" spans="1:26" ht="12.75" customHeight="1">
      <c r="A29" s="8"/>
      <c r="B29" s="9"/>
      <c r="C29" s="10"/>
      <c r="D29" s="4"/>
      <c r="E29" s="4"/>
      <c r="F29" s="4"/>
      <c r="G29" s="4"/>
      <c r="H29" s="4"/>
      <c r="I29" s="4"/>
      <c r="J29" s="4"/>
      <c r="K29" s="4"/>
      <c r="L29" s="4"/>
      <c r="M29" s="4"/>
      <c r="N29" s="4"/>
      <c r="O29" s="4"/>
      <c r="P29" s="4"/>
      <c r="Q29" s="4"/>
      <c r="R29" s="4"/>
      <c r="S29" s="4"/>
      <c r="T29" s="4"/>
      <c r="U29" s="4"/>
      <c r="V29" s="4"/>
      <c r="W29" s="4"/>
      <c r="X29" s="4"/>
    </row>
    <row r="30" spans="1:26" ht="12.75" customHeight="1">
      <c r="A30" s="8"/>
      <c r="B30" s="9"/>
      <c r="C30" s="10"/>
      <c r="D30" s="4"/>
      <c r="E30" s="4"/>
      <c r="F30" s="4"/>
      <c r="G30" s="4"/>
      <c r="H30" s="4"/>
      <c r="I30" s="4"/>
      <c r="J30" s="4"/>
      <c r="K30" s="4"/>
      <c r="L30" s="4"/>
      <c r="M30" s="4"/>
      <c r="N30" s="4"/>
      <c r="O30" s="4"/>
      <c r="P30" s="4"/>
      <c r="Q30" s="4"/>
      <c r="R30" s="4"/>
      <c r="S30" s="4"/>
      <c r="T30" s="4"/>
      <c r="U30" s="4"/>
      <c r="V30" s="4"/>
      <c r="W30" s="4"/>
      <c r="X30" s="4"/>
    </row>
    <row r="31" spans="1:26" ht="12.75" customHeight="1">
      <c r="A31" s="8"/>
      <c r="B31" s="9"/>
      <c r="C31" s="10"/>
      <c r="D31" s="4"/>
      <c r="E31" s="4"/>
      <c r="F31" s="4"/>
      <c r="G31" s="4"/>
      <c r="H31" s="4"/>
      <c r="I31" s="4"/>
      <c r="J31" s="4"/>
      <c r="K31" s="4"/>
      <c r="L31" s="4"/>
      <c r="M31" s="4"/>
      <c r="N31" s="4"/>
      <c r="O31" s="4"/>
      <c r="P31" s="4"/>
      <c r="Q31" s="4"/>
      <c r="R31" s="4"/>
      <c r="S31" s="4"/>
      <c r="T31" s="4"/>
      <c r="U31" s="4"/>
      <c r="V31" s="4"/>
      <c r="W31" s="4"/>
      <c r="X31" s="4"/>
    </row>
    <row r="32" spans="1:26" ht="12.75" customHeight="1">
      <c r="A32" s="8"/>
      <c r="B32" s="9"/>
      <c r="C32" s="10"/>
      <c r="D32" s="8"/>
      <c r="E32" s="8"/>
      <c r="F32" s="4"/>
      <c r="G32" s="4"/>
      <c r="H32" s="4"/>
      <c r="I32" s="4"/>
      <c r="J32" s="4"/>
      <c r="K32" s="4"/>
      <c r="L32" s="4"/>
      <c r="M32" s="4"/>
      <c r="N32" s="4"/>
      <c r="O32" s="4"/>
      <c r="P32" s="4"/>
      <c r="Q32" s="4"/>
      <c r="R32" s="4"/>
      <c r="S32" s="4"/>
      <c r="T32" s="4"/>
      <c r="U32" s="4"/>
      <c r="V32" s="4"/>
      <c r="W32" s="4"/>
      <c r="X32" s="4"/>
      <c r="Y32" s="4"/>
      <c r="Z32" s="4"/>
    </row>
    <row r="33" spans="1:26" ht="12.75" customHeight="1">
      <c r="A33" s="8"/>
      <c r="B33" s="9"/>
      <c r="C33" s="10"/>
      <c r="D33" s="8"/>
      <c r="E33" s="8"/>
      <c r="F33" s="4"/>
      <c r="G33" s="4"/>
      <c r="H33" s="4"/>
      <c r="I33" s="4"/>
      <c r="J33" s="4"/>
      <c r="K33" s="4"/>
      <c r="L33" s="4"/>
      <c r="M33" s="4"/>
      <c r="N33" s="4"/>
      <c r="O33" s="4"/>
      <c r="P33" s="4"/>
      <c r="Q33" s="4"/>
      <c r="R33" s="4"/>
      <c r="S33" s="4"/>
      <c r="T33" s="4"/>
      <c r="U33" s="4"/>
      <c r="V33" s="4"/>
      <c r="W33" s="4"/>
      <c r="X33" s="4"/>
      <c r="Y33" s="4"/>
      <c r="Z33" s="4"/>
    </row>
    <row r="34" spans="1:26" ht="12.75" customHeight="1">
      <c r="A34" s="8"/>
      <c r="B34" s="9"/>
      <c r="C34" s="10"/>
      <c r="D34" s="8"/>
      <c r="E34" s="8"/>
      <c r="F34" s="4"/>
      <c r="G34" s="4"/>
      <c r="H34" s="4"/>
      <c r="I34" s="4"/>
      <c r="J34" s="4"/>
      <c r="K34" s="4"/>
      <c r="L34" s="4"/>
      <c r="M34" s="4"/>
      <c r="N34" s="4"/>
      <c r="O34" s="4"/>
      <c r="P34" s="4"/>
      <c r="Q34" s="4"/>
      <c r="R34" s="4"/>
      <c r="S34" s="4"/>
      <c r="T34" s="4"/>
      <c r="U34" s="4"/>
      <c r="V34" s="4"/>
      <c r="W34" s="4"/>
      <c r="X34" s="4"/>
      <c r="Y34" s="4"/>
      <c r="Z34" s="4"/>
    </row>
    <row r="35" spans="1:26" ht="12.75" customHeight="1">
      <c r="A35" s="8"/>
      <c r="B35" s="9"/>
      <c r="C35" s="10"/>
      <c r="D35" s="8"/>
      <c r="E35" s="8"/>
      <c r="F35" s="4"/>
      <c r="G35" s="4"/>
      <c r="H35" s="4"/>
      <c r="I35" s="4"/>
      <c r="J35" s="4"/>
      <c r="K35" s="4"/>
      <c r="L35" s="4"/>
      <c r="M35" s="4"/>
      <c r="N35" s="4"/>
      <c r="O35" s="4"/>
      <c r="P35" s="4"/>
      <c r="Q35" s="4"/>
      <c r="R35" s="4"/>
      <c r="S35" s="4"/>
      <c r="T35" s="4"/>
      <c r="U35" s="4"/>
      <c r="V35" s="4"/>
      <c r="W35" s="4"/>
      <c r="X35" s="4"/>
      <c r="Y35" s="4"/>
      <c r="Z35" s="4"/>
    </row>
    <row r="36" spans="1:26" ht="12.75" customHeight="1">
      <c r="A36" s="8"/>
      <c r="B36" s="9"/>
      <c r="C36" s="10"/>
      <c r="D36" s="8"/>
      <c r="E36" s="8"/>
      <c r="F36" s="4"/>
      <c r="G36" s="4"/>
      <c r="H36" s="4"/>
      <c r="I36" s="4"/>
      <c r="J36" s="4"/>
      <c r="K36" s="4"/>
      <c r="L36" s="4"/>
      <c r="M36" s="4"/>
      <c r="N36" s="4"/>
      <c r="O36" s="4"/>
      <c r="P36" s="4"/>
      <c r="Q36" s="4"/>
      <c r="R36" s="4"/>
      <c r="S36" s="4"/>
      <c r="T36" s="4"/>
      <c r="U36" s="4"/>
      <c r="V36" s="4"/>
      <c r="W36" s="4"/>
      <c r="X36" s="4"/>
      <c r="Y36" s="4"/>
      <c r="Z36" s="4"/>
    </row>
    <row r="37" spans="1:26" ht="12.75" customHeight="1">
      <c r="A37" s="8"/>
      <c r="B37" s="9"/>
      <c r="C37" s="10"/>
      <c r="D37" s="8"/>
      <c r="E37" s="8"/>
      <c r="F37" s="4"/>
      <c r="G37" s="4"/>
      <c r="H37" s="4"/>
      <c r="I37" s="4"/>
      <c r="J37" s="4"/>
      <c r="K37" s="4"/>
      <c r="L37" s="4"/>
      <c r="M37" s="4"/>
      <c r="N37" s="4"/>
      <c r="O37" s="4"/>
      <c r="P37" s="4"/>
      <c r="Q37" s="4"/>
      <c r="R37" s="4"/>
      <c r="S37" s="4"/>
      <c r="T37" s="4"/>
      <c r="U37" s="4"/>
      <c r="V37" s="4"/>
      <c r="W37" s="4"/>
      <c r="X37" s="4"/>
      <c r="Y37" s="4"/>
      <c r="Z37" s="4"/>
    </row>
    <row r="38" spans="1:26" ht="12.75" customHeight="1">
      <c r="A38" s="8"/>
      <c r="B38" s="9"/>
      <c r="C38" s="10"/>
      <c r="D38" s="8"/>
      <c r="E38" s="8"/>
      <c r="F38" s="4"/>
      <c r="G38" s="4"/>
      <c r="H38" s="4"/>
      <c r="I38" s="4"/>
      <c r="J38" s="4"/>
      <c r="K38" s="4"/>
      <c r="L38" s="4"/>
      <c r="M38" s="4"/>
      <c r="N38" s="4"/>
      <c r="O38" s="4"/>
      <c r="P38" s="4"/>
      <c r="Q38" s="4"/>
      <c r="R38" s="4"/>
      <c r="S38" s="4"/>
      <c r="T38" s="4"/>
      <c r="U38" s="4"/>
      <c r="V38" s="4"/>
      <c r="W38" s="4"/>
      <c r="X38" s="4"/>
      <c r="Y38" s="4"/>
      <c r="Z38" s="4"/>
    </row>
    <row r="39" spans="1:26" ht="12.75" customHeight="1">
      <c r="A39" s="8"/>
      <c r="B39" s="9"/>
      <c r="C39" s="10"/>
      <c r="D39" s="8"/>
      <c r="E39" s="8"/>
      <c r="F39" s="4"/>
      <c r="G39" s="4"/>
      <c r="H39" s="4"/>
      <c r="I39" s="4"/>
      <c r="J39" s="4"/>
      <c r="K39" s="4"/>
      <c r="L39" s="4"/>
      <c r="M39" s="4"/>
      <c r="N39" s="4"/>
      <c r="O39" s="4"/>
      <c r="P39" s="4"/>
      <c r="Q39" s="4"/>
      <c r="R39" s="4"/>
      <c r="S39" s="4"/>
      <c r="T39" s="4"/>
      <c r="U39" s="4"/>
      <c r="V39" s="4"/>
      <c r="W39" s="4"/>
      <c r="X39" s="4"/>
      <c r="Y39" s="4"/>
      <c r="Z39" s="4"/>
    </row>
    <row r="40" spans="1:26" ht="12.75" customHeight="1">
      <c r="A40" s="8"/>
      <c r="B40" s="9"/>
      <c r="C40" s="10"/>
      <c r="D40" s="8"/>
      <c r="E40" s="8"/>
      <c r="F40" s="4"/>
      <c r="G40" s="4"/>
      <c r="H40" s="4"/>
      <c r="I40" s="4"/>
      <c r="J40" s="4"/>
      <c r="K40" s="4"/>
      <c r="L40" s="4"/>
      <c r="M40" s="4"/>
      <c r="N40" s="4"/>
      <c r="O40" s="4"/>
      <c r="P40" s="4"/>
      <c r="Q40" s="4"/>
      <c r="R40" s="4"/>
      <c r="S40" s="4"/>
      <c r="T40" s="4"/>
      <c r="U40" s="4"/>
      <c r="V40" s="4"/>
      <c r="W40" s="4"/>
      <c r="X40" s="4"/>
      <c r="Y40" s="4"/>
      <c r="Z40" s="4"/>
    </row>
    <row r="41" spans="1:26" ht="12.75" customHeight="1">
      <c r="A41" s="8"/>
      <c r="B41" s="9"/>
      <c r="C41" s="10"/>
      <c r="D41" s="8"/>
      <c r="E41" s="8"/>
      <c r="F41" s="4"/>
      <c r="G41" s="4"/>
      <c r="H41" s="4"/>
      <c r="I41" s="4"/>
      <c r="J41" s="4"/>
      <c r="K41" s="4"/>
      <c r="L41" s="4"/>
      <c r="M41" s="4"/>
      <c r="N41" s="4"/>
      <c r="O41" s="4"/>
      <c r="P41" s="4"/>
      <c r="Q41" s="4"/>
      <c r="R41" s="4"/>
      <c r="S41" s="4"/>
      <c r="T41" s="4"/>
      <c r="U41" s="4"/>
      <c r="V41" s="4"/>
      <c r="W41" s="4"/>
      <c r="X41" s="4"/>
      <c r="Y41" s="4"/>
      <c r="Z41" s="4"/>
    </row>
    <row r="42" spans="1:26" ht="12.75" customHeight="1">
      <c r="A42" s="8"/>
      <c r="B42" s="9"/>
      <c r="C42" s="10"/>
      <c r="D42" s="8"/>
      <c r="E42" s="8"/>
      <c r="F42" s="4"/>
      <c r="G42" s="4"/>
      <c r="H42" s="4"/>
      <c r="I42" s="4"/>
      <c r="J42" s="4"/>
      <c r="K42" s="4"/>
      <c r="L42" s="4"/>
      <c r="M42" s="4"/>
      <c r="N42" s="4"/>
      <c r="O42" s="4"/>
      <c r="P42" s="4"/>
      <c r="Q42" s="4"/>
      <c r="R42" s="4"/>
      <c r="S42" s="4"/>
      <c r="T42" s="4"/>
      <c r="U42" s="4"/>
      <c r="V42" s="4"/>
      <c r="W42" s="4"/>
      <c r="X42" s="4"/>
      <c r="Y42" s="4"/>
      <c r="Z42" s="4"/>
    </row>
    <row r="43" spans="1:26" ht="12.75" customHeight="1">
      <c r="A43" s="8"/>
      <c r="B43" s="9"/>
      <c r="C43" s="10"/>
      <c r="D43" s="8"/>
      <c r="E43" s="8"/>
      <c r="F43" s="4"/>
      <c r="G43" s="4"/>
      <c r="H43" s="4"/>
      <c r="I43" s="4"/>
      <c r="J43" s="4"/>
      <c r="K43" s="4"/>
      <c r="L43" s="4"/>
      <c r="M43" s="4"/>
      <c r="N43" s="4"/>
      <c r="O43" s="4"/>
      <c r="P43" s="4"/>
      <c r="Q43" s="4"/>
      <c r="R43" s="4"/>
      <c r="S43" s="4"/>
      <c r="T43" s="4"/>
      <c r="U43" s="4"/>
      <c r="V43" s="4"/>
      <c r="W43" s="4"/>
      <c r="X43" s="4"/>
      <c r="Y43" s="4"/>
      <c r="Z43" s="4"/>
    </row>
    <row r="44" spans="1:26" ht="12.75" customHeight="1">
      <c r="A44" s="8"/>
      <c r="B44" s="9"/>
      <c r="C44" s="10"/>
      <c r="D44" s="8"/>
      <c r="E44" s="8"/>
      <c r="F44" s="4"/>
      <c r="G44" s="4"/>
      <c r="H44" s="4"/>
      <c r="I44" s="4"/>
      <c r="J44" s="4"/>
      <c r="K44" s="4"/>
      <c r="L44" s="4"/>
      <c r="M44" s="4"/>
      <c r="N44" s="4"/>
      <c r="O44" s="4"/>
      <c r="P44" s="4"/>
      <c r="Q44" s="4"/>
      <c r="R44" s="4"/>
      <c r="S44" s="4"/>
      <c r="T44" s="4"/>
      <c r="U44" s="4"/>
      <c r="V44" s="4"/>
      <c r="W44" s="4"/>
      <c r="X44" s="4"/>
      <c r="Y44" s="4"/>
      <c r="Z44" s="4"/>
    </row>
    <row r="45" spans="1:26" ht="12.75" customHeight="1">
      <c r="A45" s="8"/>
      <c r="B45" s="9"/>
      <c r="C45" s="10"/>
      <c r="D45" s="8"/>
      <c r="E45" s="8"/>
      <c r="F45" s="4"/>
      <c r="G45" s="4"/>
      <c r="H45" s="4"/>
      <c r="I45" s="4"/>
      <c r="J45" s="4"/>
      <c r="K45" s="4"/>
      <c r="L45" s="4"/>
      <c r="M45" s="4"/>
      <c r="N45" s="4"/>
      <c r="O45" s="4"/>
      <c r="P45" s="4"/>
      <c r="Q45" s="4"/>
      <c r="R45" s="4"/>
      <c r="S45" s="4"/>
      <c r="T45" s="4"/>
      <c r="U45" s="4"/>
      <c r="V45" s="4"/>
      <c r="W45" s="4"/>
      <c r="X45" s="4"/>
      <c r="Y45" s="4"/>
      <c r="Z45" s="4"/>
    </row>
    <row r="46" spans="1:26" ht="12.75" customHeight="1">
      <c r="A46" s="8"/>
      <c r="B46" s="9"/>
      <c r="C46" s="10"/>
      <c r="D46" s="8"/>
      <c r="E46" s="8"/>
      <c r="F46" s="4"/>
      <c r="G46" s="4"/>
      <c r="H46" s="4"/>
      <c r="I46" s="4"/>
      <c r="J46" s="4"/>
      <c r="K46" s="4"/>
      <c r="L46" s="4"/>
      <c r="M46" s="4"/>
      <c r="N46" s="4"/>
      <c r="O46" s="4"/>
      <c r="P46" s="4"/>
      <c r="Q46" s="4"/>
      <c r="R46" s="4"/>
      <c r="S46" s="4"/>
      <c r="T46" s="4"/>
      <c r="U46" s="4"/>
      <c r="V46" s="4"/>
      <c r="W46" s="4"/>
      <c r="X46" s="4"/>
      <c r="Y46" s="4"/>
      <c r="Z46" s="4"/>
    </row>
    <row r="47" spans="1:26" ht="12.75" customHeight="1">
      <c r="A47" s="8"/>
      <c r="B47" s="9"/>
      <c r="C47" s="10"/>
      <c r="D47" s="8"/>
      <c r="E47" s="8"/>
      <c r="F47" s="4"/>
      <c r="G47" s="4"/>
      <c r="H47" s="4"/>
      <c r="I47" s="4"/>
      <c r="J47" s="4"/>
      <c r="K47" s="4"/>
      <c r="L47" s="4"/>
      <c r="M47" s="4"/>
      <c r="N47" s="4"/>
      <c r="O47" s="4"/>
      <c r="P47" s="4"/>
      <c r="Q47" s="4"/>
      <c r="R47" s="4"/>
      <c r="S47" s="4"/>
      <c r="T47" s="4"/>
      <c r="U47" s="4"/>
      <c r="V47" s="4"/>
      <c r="W47" s="4"/>
      <c r="X47" s="4"/>
      <c r="Y47" s="4"/>
      <c r="Z47" s="4"/>
    </row>
    <row r="48" spans="1:26" ht="12.75" customHeight="1">
      <c r="A48" s="8"/>
      <c r="B48" s="9"/>
      <c r="C48" s="10"/>
      <c r="D48" s="8"/>
      <c r="E48" s="8"/>
      <c r="F48" s="4"/>
      <c r="G48" s="4"/>
      <c r="H48" s="4"/>
      <c r="I48" s="4"/>
      <c r="J48" s="4"/>
      <c r="K48" s="4"/>
      <c r="L48" s="4"/>
      <c r="M48" s="4"/>
      <c r="N48" s="4"/>
      <c r="O48" s="4"/>
      <c r="P48" s="4"/>
      <c r="Q48" s="4"/>
      <c r="R48" s="4"/>
      <c r="S48" s="4"/>
      <c r="T48" s="4"/>
      <c r="U48" s="4"/>
      <c r="V48" s="4"/>
      <c r="W48" s="4"/>
      <c r="X48" s="4"/>
      <c r="Y48" s="4"/>
      <c r="Z48" s="4"/>
    </row>
    <row r="49" spans="1:26" ht="12.75" customHeight="1">
      <c r="A49" s="8"/>
      <c r="B49" s="9"/>
      <c r="C49" s="10"/>
      <c r="D49" s="8"/>
      <c r="E49" s="8"/>
      <c r="F49" s="4"/>
      <c r="G49" s="4"/>
      <c r="H49" s="4"/>
      <c r="I49" s="4"/>
      <c r="J49" s="4"/>
      <c r="K49" s="4"/>
      <c r="L49" s="4"/>
      <c r="M49" s="4"/>
      <c r="N49" s="4"/>
      <c r="O49" s="4"/>
      <c r="P49" s="4"/>
      <c r="Q49" s="4"/>
      <c r="R49" s="4"/>
      <c r="S49" s="4"/>
      <c r="T49" s="4"/>
      <c r="U49" s="4"/>
      <c r="V49" s="4"/>
      <c r="W49" s="4"/>
      <c r="X49" s="4"/>
      <c r="Y49" s="4"/>
      <c r="Z49" s="4"/>
    </row>
    <row r="50" spans="1:26" ht="12.75" customHeight="1">
      <c r="A50" s="8"/>
      <c r="B50" s="9"/>
      <c r="C50" s="10"/>
      <c r="D50" s="8"/>
      <c r="E50" s="8"/>
      <c r="F50" s="4"/>
      <c r="G50" s="4"/>
      <c r="H50" s="4"/>
      <c r="I50" s="4"/>
      <c r="J50" s="4"/>
      <c r="K50" s="4"/>
      <c r="L50" s="4"/>
      <c r="M50" s="4"/>
      <c r="N50" s="4"/>
      <c r="O50" s="4"/>
      <c r="P50" s="4"/>
      <c r="Q50" s="4"/>
      <c r="R50" s="4"/>
      <c r="S50" s="4"/>
      <c r="T50" s="4"/>
      <c r="U50" s="4"/>
      <c r="V50" s="4"/>
      <c r="W50" s="4"/>
      <c r="X50" s="4"/>
      <c r="Y50" s="4"/>
      <c r="Z50" s="4"/>
    </row>
    <row r="51" spans="1:26" ht="12.75" customHeight="1">
      <c r="A51" s="8"/>
      <c r="B51" s="9"/>
      <c r="C51" s="10"/>
      <c r="D51" s="8"/>
      <c r="E51" s="8"/>
      <c r="F51" s="4"/>
      <c r="G51" s="4"/>
      <c r="H51" s="4"/>
      <c r="I51" s="4"/>
      <c r="J51" s="4"/>
      <c r="K51" s="4"/>
      <c r="L51" s="4"/>
      <c r="M51" s="4"/>
      <c r="N51" s="4"/>
      <c r="O51" s="4"/>
      <c r="P51" s="4"/>
      <c r="Q51" s="4"/>
      <c r="R51" s="4"/>
      <c r="S51" s="4"/>
      <c r="T51" s="4"/>
      <c r="U51" s="4"/>
      <c r="V51" s="4"/>
      <c r="W51" s="4"/>
      <c r="X51" s="4"/>
      <c r="Y51" s="4"/>
      <c r="Z51" s="4"/>
    </row>
    <row r="52" spans="1:26" ht="12.75" customHeight="1">
      <c r="A52" s="8"/>
      <c r="B52" s="9"/>
      <c r="C52" s="10"/>
      <c r="D52" s="8"/>
      <c r="E52" s="8"/>
      <c r="F52" s="4"/>
      <c r="G52" s="4"/>
      <c r="H52" s="4"/>
      <c r="I52" s="4"/>
      <c r="J52" s="4"/>
      <c r="K52" s="4"/>
      <c r="L52" s="4"/>
      <c r="M52" s="4"/>
      <c r="N52" s="4"/>
      <c r="O52" s="4"/>
      <c r="P52" s="4"/>
      <c r="Q52" s="4"/>
      <c r="R52" s="4"/>
      <c r="S52" s="4"/>
      <c r="T52" s="4"/>
      <c r="U52" s="4"/>
      <c r="V52" s="4"/>
      <c r="W52" s="4"/>
      <c r="X52" s="4"/>
      <c r="Y52" s="4"/>
      <c r="Z52" s="4"/>
    </row>
    <row r="53" spans="1:26" ht="12.75" customHeight="1">
      <c r="A53" s="8"/>
      <c r="B53" s="9"/>
      <c r="C53" s="10"/>
      <c r="D53" s="8"/>
      <c r="E53" s="8"/>
      <c r="F53" s="4"/>
      <c r="G53" s="4"/>
      <c r="H53" s="4"/>
      <c r="I53" s="4"/>
      <c r="J53" s="4"/>
      <c r="K53" s="4"/>
      <c r="L53" s="4"/>
      <c r="M53" s="4"/>
      <c r="N53" s="4"/>
      <c r="O53" s="4"/>
      <c r="P53" s="4"/>
      <c r="Q53" s="4"/>
      <c r="R53" s="4"/>
      <c r="S53" s="4"/>
      <c r="T53" s="4"/>
      <c r="U53" s="4"/>
      <c r="V53" s="4"/>
      <c r="W53" s="4"/>
      <c r="X53" s="4"/>
      <c r="Y53" s="4"/>
      <c r="Z53" s="4"/>
    </row>
    <row r="54" spans="1:26" ht="12.75" customHeight="1">
      <c r="A54" s="8"/>
      <c r="B54" s="9"/>
      <c r="C54" s="10"/>
      <c r="D54" s="8"/>
      <c r="E54" s="8"/>
      <c r="F54" s="4"/>
      <c r="G54" s="4"/>
      <c r="H54" s="4"/>
      <c r="I54" s="4"/>
      <c r="J54" s="4"/>
      <c r="K54" s="4"/>
      <c r="L54" s="4"/>
      <c r="M54" s="4"/>
      <c r="N54" s="4"/>
      <c r="O54" s="4"/>
      <c r="P54" s="4"/>
      <c r="Q54" s="4"/>
      <c r="R54" s="4"/>
      <c r="S54" s="4"/>
      <c r="T54" s="4"/>
      <c r="U54" s="4"/>
      <c r="V54" s="4"/>
      <c r="W54" s="4"/>
      <c r="X54" s="4"/>
      <c r="Y54" s="4"/>
      <c r="Z54" s="4"/>
    </row>
    <row r="55" spans="1:26" ht="12.75" customHeight="1">
      <c r="A55" s="8"/>
      <c r="B55" s="9"/>
      <c r="C55" s="10"/>
      <c r="D55" s="8"/>
      <c r="E55" s="8"/>
      <c r="F55" s="4"/>
      <c r="G55" s="4"/>
      <c r="H55" s="4"/>
      <c r="I55" s="4"/>
      <c r="J55" s="4"/>
      <c r="K55" s="4"/>
      <c r="L55" s="4"/>
      <c r="M55" s="4"/>
      <c r="N55" s="4"/>
      <c r="O55" s="4"/>
      <c r="P55" s="4"/>
      <c r="Q55" s="4"/>
      <c r="R55" s="4"/>
      <c r="S55" s="4"/>
      <c r="T55" s="4"/>
      <c r="U55" s="4"/>
      <c r="V55" s="4"/>
      <c r="W55" s="4"/>
      <c r="X55" s="4"/>
      <c r="Y55" s="4"/>
      <c r="Z55" s="4"/>
    </row>
    <row r="56" spans="1:26" ht="12.75" customHeight="1">
      <c r="A56" s="8"/>
      <c r="B56" s="9"/>
      <c r="C56" s="10"/>
      <c r="D56" s="8"/>
      <c r="E56" s="8"/>
      <c r="F56" s="4"/>
      <c r="G56" s="4"/>
      <c r="H56" s="4"/>
      <c r="I56" s="4"/>
      <c r="J56" s="4"/>
      <c r="K56" s="4"/>
      <c r="L56" s="4"/>
      <c r="M56" s="4"/>
      <c r="N56" s="4"/>
      <c r="O56" s="4"/>
      <c r="P56" s="4"/>
      <c r="Q56" s="4"/>
      <c r="R56" s="4"/>
      <c r="S56" s="4"/>
      <c r="T56" s="4"/>
      <c r="U56" s="4"/>
      <c r="V56" s="4"/>
      <c r="W56" s="4"/>
      <c r="X56" s="4"/>
      <c r="Y56" s="4"/>
      <c r="Z56" s="4"/>
    </row>
    <row r="57" spans="1:26" ht="12.75" customHeight="1">
      <c r="A57" s="8"/>
      <c r="B57" s="9"/>
      <c r="C57" s="10"/>
      <c r="D57" s="8"/>
      <c r="E57" s="8"/>
      <c r="F57" s="4"/>
      <c r="G57" s="4"/>
      <c r="H57" s="4"/>
      <c r="I57" s="4"/>
      <c r="J57" s="4"/>
      <c r="K57" s="4"/>
      <c r="L57" s="4"/>
      <c r="M57" s="4"/>
      <c r="N57" s="4"/>
      <c r="O57" s="4"/>
      <c r="P57" s="4"/>
      <c r="Q57" s="4"/>
      <c r="R57" s="4"/>
      <c r="S57" s="4"/>
      <c r="T57" s="4"/>
      <c r="U57" s="4"/>
      <c r="V57" s="4"/>
      <c r="W57" s="4"/>
      <c r="X57" s="4"/>
      <c r="Y57" s="4"/>
      <c r="Z57" s="4"/>
    </row>
    <row r="58" spans="1:26" ht="12.75" customHeight="1">
      <c r="A58" s="8"/>
      <c r="B58" s="9"/>
      <c r="C58" s="10"/>
      <c r="D58" s="8"/>
      <c r="E58" s="8"/>
      <c r="F58" s="4"/>
      <c r="G58" s="4"/>
      <c r="H58" s="4"/>
      <c r="I58" s="4"/>
      <c r="J58" s="4"/>
      <c r="K58" s="4"/>
      <c r="L58" s="4"/>
      <c r="M58" s="4"/>
      <c r="N58" s="4"/>
      <c r="O58" s="4"/>
      <c r="P58" s="4"/>
      <c r="Q58" s="4"/>
      <c r="R58" s="4"/>
      <c r="S58" s="4"/>
      <c r="T58" s="4"/>
      <c r="U58" s="4"/>
      <c r="V58" s="4"/>
      <c r="W58" s="4"/>
      <c r="X58" s="4"/>
      <c r="Y58" s="4"/>
      <c r="Z58" s="4"/>
    </row>
    <row r="59" spans="1:26" ht="12.75" customHeight="1">
      <c r="A59" s="8"/>
      <c r="B59" s="9"/>
      <c r="C59" s="10"/>
      <c r="D59" s="8"/>
      <c r="E59" s="8"/>
      <c r="F59" s="4"/>
      <c r="G59" s="4"/>
      <c r="H59" s="4"/>
      <c r="I59" s="4"/>
      <c r="J59" s="4"/>
      <c r="K59" s="4"/>
      <c r="L59" s="4"/>
      <c r="M59" s="4"/>
      <c r="N59" s="4"/>
      <c r="O59" s="4"/>
      <c r="P59" s="4"/>
      <c r="Q59" s="4"/>
      <c r="R59" s="4"/>
      <c r="S59" s="4"/>
      <c r="T59" s="4"/>
      <c r="U59" s="4"/>
      <c r="V59" s="4"/>
      <c r="W59" s="4"/>
      <c r="X59" s="4"/>
      <c r="Y59" s="4"/>
      <c r="Z59" s="4"/>
    </row>
    <row r="60" spans="1:26" ht="12.75" customHeight="1">
      <c r="A60" s="8"/>
      <c r="B60" s="9"/>
      <c r="C60" s="10"/>
      <c r="D60" s="8"/>
      <c r="E60" s="8"/>
      <c r="F60" s="4"/>
      <c r="G60" s="4"/>
      <c r="H60" s="4"/>
      <c r="I60" s="4"/>
      <c r="J60" s="4"/>
      <c r="K60" s="4"/>
      <c r="L60" s="4"/>
      <c r="M60" s="4"/>
      <c r="N60" s="4"/>
      <c r="O60" s="4"/>
      <c r="P60" s="4"/>
      <c r="Q60" s="4"/>
      <c r="R60" s="4"/>
      <c r="S60" s="4"/>
      <c r="T60" s="4"/>
      <c r="U60" s="4"/>
      <c r="V60" s="4"/>
      <c r="W60" s="4"/>
      <c r="X60" s="4"/>
      <c r="Y60" s="4"/>
      <c r="Z60" s="4"/>
    </row>
    <row r="61" spans="1:26" ht="12.75" customHeight="1">
      <c r="A61" s="8"/>
      <c r="B61" s="9"/>
      <c r="C61" s="10"/>
      <c r="D61" s="8"/>
      <c r="E61" s="8"/>
      <c r="F61" s="4"/>
      <c r="G61" s="4"/>
      <c r="H61" s="4"/>
      <c r="I61" s="4"/>
      <c r="J61" s="4"/>
      <c r="K61" s="4"/>
      <c r="L61" s="4"/>
      <c r="M61" s="4"/>
      <c r="N61" s="4"/>
      <c r="O61" s="4"/>
      <c r="P61" s="4"/>
      <c r="Q61" s="4"/>
      <c r="R61" s="4"/>
      <c r="S61" s="4"/>
      <c r="T61" s="4"/>
      <c r="U61" s="4"/>
      <c r="V61" s="4"/>
      <c r="W61" s="4"/>
      <c r="X61" s="4"/>
      <c r="Y61" s="4"/>
      <c r="Z61" s="4"/>
    </row>
    <row r="62" spans="1:26" ht="12.75" customHeight="1">
      <c r="A62" s="8"/>
      <c r="B62" s="9"/>
      <c r="C62" s="10"/>
      <c r="D62" s="8"/>
      <c r="E62" s="8"/>
      <c r="F62" s="4"/>
      <c r="G62" s="4"/>
      <c r="H62" s="4"/>
      <c r="I62" s="4"/>
      <c r="J62" s="4"/>
      <c r="K62" s="4"/>
      <c r="L62" s="4"/>
      <c r="M62" s="4"/>
      <c r="N62" s="4"/>
      <c r="O62" s="4"/>
      <c r="P62" s="4"/>
      <c r="Q62" s="4"/>
      <c r="R62" s="4"/>
      <c r="S62" s="4"/>
      <c r="T62" s="4"/>
      <c r="U62" s="4"/>
      <c r="V62" s="4"/>
      <c r="W62" s="4"/>
      <c r="X62" s="4"/>
      <c r="Y62" s="4"/>
      <c r="Z62" s="4"/>
    </row>
    <row r="63" spans="1:26" ht="12.75" customHeight="1">
      <c r="A63" s="8"/>
      <c r="B63" s="9"/>
      <c r="C63" s="10"/>
      <c r="D63" s="8"/>
      <c r="E63" s="8"/>
      <c r="F63" s="4"/>
      <c r="G63" s="4"/>
      <c r="H63" s="4"/>
      <c r="I63" s="4"/>
      <c r="J63" s="4"/>
      <c r="K63" s="4"/>
      <c r="L63" s="4"/>
      <c r="M63" s="4"/>
      <c r="N63" s="4"/>
      <c r="O63" s="4"/>
      <c r="P63" s="4"/>
      <c r="Q63" s="4"/>
      <c r="R63" s="4"/>
      <c r="S63" s="4"/>
      <c r="T63" s="4"/>
      <c r="U63" s="4"/>
      <c r="V63" s="4"/>
      <c r="W63" s="4"/>
      <c r="X63" s="4"/>
      <c r="Y63" s="4"/>
      <c r="Z63" s="4"/>
    </row>
    <row r="64" spans="1:26" ht="12.75" customHeight="1">
      <c r="A64" s="8"/>
      <c r="B64" s="9"/>
      <c r="C64" s="10"/>
      <c r="D64" s="8"/>
      <c r="E64" s="8"/>
      <c r="F64" s="4"/>
      <c r="G64" s="4"/>
      <c r="H64" s="4"/>
      <c r="I64" s="4"/>
      <c r="J64" s="4"/>
      <c r="K64" s="4"/>
      <c r="L64" s="4"/>
      <c r="M64" s="4"/>
      <c r="N64" s="4"/>
      <c r="O64" s="4"/>
      <c r="P64" s="4"/>
      <c r="Q64" s="4"/>
      <c r="R64" s="4"/>
      <c r="S64" s="4"/>
      <c r="T64" s="4"/>
      <c r="U64" s="4"/>
      <c r="V64" s="4"/>
      <c r="W64" s="4"/>
      <c r="X64" s="4"/>
      <c r="Y64" s="4"/>
      <c r="Z64" s="4"/>
    </row>
    <row r="65" spans="1:26" ht="12.75" customHeight="1">
      <c r="A65" s="8"/>
      <c r="B65" s="9"/>
      <c r="C65" s="10"/>
      <c r="D65" s="8"/>
      <c r="E65" s="8"/>
      <c r="F65" s="4"/>
      <c r="G65" s="4"/>
      <c r="H65" s="4"/>
      <c r="I65" s="4"/>
      <c r="J65" s="4"/>
      <c r="K65" s="4"/>
      <c r="L65" s="4"/>
      <c r="M65" s="4"/>
      <c r="N65" s="4"/>
      <c r="O65" s="4"/>
      <c r="P65" s="4"/>
      <c r="Q65" s="4"/>
      <c r="R65" s="4"/>
      <c r="S65" s="4"/>
      <c r="T65" s="4"/>
      <c r="U65" s="4"/>
      <c r="V65" s="4"/>
      <c r="W65" s="4"/>
      <c r="X65" s="4"/>
      <c r="Y65" s="4"/>
      <c r="Z65" s="4"/>
    </row>
    <row r="66" spans="1:26" ht="12.75" customHeight="1">
      <c r="A66" s="8"/>
      <c r="B66" s="9"/>
      <c r="C66" s="10"/>
      <c r="D66" s="8"/>
      <c r="E66" s="8"/>
      <c r="F66" s="4"/>
      <c r="G66" s="4"/>
      <c r="H66" s="4"/>
      <c r="I66" s="4"/>
      <c r="J66" s="4"/>
      <c r="K66" s="4"/>
      <c r="L66" s="4"/>
      <c r="M66" s="4"/>
      <c r="N66" s="4"/>
      <c r="O66" s="4"/>
      <c r="P66" s="4"/>
      <c r="Q66" s="4"/>
      <c r="R66" s="4"/>
      <c r="S66" s="4"/>
      <c r="T66" s="4"/>
      <c r="U66" s="4"/>
      <c r="V66" s="4"/>
      <c r="W66" s="4"/>
      <c r="X66" s="4"/>
      <c r="Y66" s="4"/>
      <c r="Z66" s="4"/>
    </row>
    <row r="67" spans="1:26" ht="12.75" customHeight="1">
      <c r="A67" s="8"/>
      <c r="B67" s="9"/>
      <c r="C67" s="10"/>
      <c r="D67" s="8"/>
      <c r="E67" s="8"/>
      <c r="F67" s="4"/>
      <c r="G67" s="4"/>
      <c r="H67" s="4"/>
      <c r="I67" s="4"/>
      <c r="J67" s="4"/>
      <c r="K67" s="4"/>
      <c r="L67" s="4"/>
      <c r="M67" s="4"/>
      <c r="N67" s="4"/>
      <c r="O67" s="4"/>
      <c r="P67" s="4"/>
      <c r="Q67" s="4"/>
      <c r="R67" s="4"/>
      <c r="S67" s="4"/>
      <c r="T67" s="4"/>
      <c r="U67" s="4"/>
      <c r="V67" s="4"/>
      <c r="W67" s="4"/>
      <c r="X67" s="4"/>
      <c r="Y67" s="4"/>
      <c r="Z67" s="4"/>
    </row>
    <row r="68" spans="1:26" ht="12.75" customHeight="1">
      <c r="A68" s="8"/>
      <c r="B68" s="9"/>
      <c r="C68" s="10"/>
      <c r="D68" s="8"/>
      <c r="E68" s="8"/>
      <c r="F68" s="4"/>
      <c r="G68" s="4"/>
      <c r="H68" s="4"/>
      <c r="I68" s="4"/>
      <c r="J68" s="4"/>
      <c r="K68" s="4"/>
      <c r="L68" s="4"/>
      <c r="M68" s="4"/>
      <c r="N68" s="4"/>
      <c r="O68" s="4"/>
      <c r="P68" s="4"/>
      <c r="Q68" s="4"/>
      <c r="R68" s="4"/>
      <c r="S68" s="4"/>
      <c r="T68" s="4"/>
      <c r="U68" s="4"/>
      <c r="V68" s="4"/>
      <c r="W68" s="4"/>
      <c r="X68" s="4"/>
      <c r="Y68" s="4"/>
      <c r="Z68" s="4"/>
    </row>
    <row r="69" spans="1:26" ht="12.75" customHeight="1">
      <c r="A69" s="8"/>
      <c r="B69" s="9"/>
      <c r="C69" s="10"/>
      <c r="D69" s="8"/>
      <c r="E69" s="8"/>
      <c r="F69" s="4"/>
      <c r="G69" s="4"/>
      <c r="H69" s="4"/>
      <c r="I69" s="4"/>
      <c r="J69" s="4"/>
      <c r="K69" s="4"/>
      <c r="L69" s="4"/>
      <c r="M69" s="4"/>
      <c r="N69" s="4"/>
      <c r="O69" s="4"/>
      <c r="P69" s="4"/>
      <c r="Q69" s="4"/>
      <c r="R69" s="4"/>
      <c r="S69" s="4"/>
      <c r="T69" s="4"/>
      <c r="U69" s="4"/>
      <c r="V69" s="4"/>
      <c r="W69" s="4"/>
      <c r="X69" s="4"/>
      <c r="Y69" s="4"/>
      <c r="Z69" s="4"/>
    </row>
    <row r="70" spans="1:26" ht="12.75" customHeight="1">
      <c r="A70" s="8"/>
      <c r="B70" s="9"/>
      <c r="C70" s="10"/>
      <c r="D70" s="8"/>
      <c r="E70" s="8"/>
      <c r="F70" s="4"/>
      <c r="G70" s="4"/>
      <c r="H70" s="4"/>
      <c r="I70" s="4"/>
      <c r="J70" s="4"/>
      <c r="K70" s="4"/>
      <c r="L70" s="4"/>
      <c r="M70" s="4"/>
      <c r="N70" s="4"/>
      <c r="O70" s="4"/>
      <c r="P70" s="4"/>
      <c r="Q70" s="4"/>
      <c r="R70" s="4"/>
      <c r="S70" s="4"/>
      <c r="T70" s="4"/>
      <c r="U70" s="4"/>
      <c r="V70" s="4"/>
      <c r="W70" s="4"/>
      <c r="X70" s="4"/>
      <c r="Y70" s="4"/>
      <c r="Z70" s="4"/>
    </row>
    <row r="71" spans="1:26" ht="12.75" customHeight="1">
      <c r="A71" s="8"/>
      <c r="B71" s="9"/>
      <c r="C71" s="10"/>
      <c r="D71" s="8"/>
      <c r="E71" s="8"/>
      <c r="F71" s="4"/>
      <c r="G71" s="4"/>
      <c r="H71" s="4"/>
      <c r="I71" s="4"/>
      <c r="J71" s="4"/>
      <c r="K71" s="4"/>
      <c r="L71" s="4"/>
      <c r="M71" s="4"/>
      <c r="N71" s="4"/>
      <c r="O71" s="4"/>
      <c r="P71" s="4"/>
      <c r="Q71" s="4"/>
      <c r="R71" s="4"/>
      <c r="S71" s="4"/>
      <c r="T71" s="4"/>
      <c r="U71" s="4"/>
      <c r="V71" s="4"/>
      <c r="W71" s="4"/>
      <c r="X71" s="4"/>
      <c r="Y71" s="4"/>
      <c r="Z71" s="4"/>
    </row>
    <row r="72" spans="1:26" ht="12.75" customHeight="1">
      <c r="A72" s="8"/>
      <c r="B72" s="9"/>
      <c r="C72" s="10"/>
      <c r="D72" s="8"/>
      <c r="E72" s="8"/>
      <c r="F72" s="4"/>
      <c r="G72" s="4"/>
      <c r="H72" s="4"/>
      <c r="I72" s="4"/>
      <c r="J72" s="4"/>
      <c r="K72" s="4"/>
      <c r="L72" s="4"/>
      <c r="M72" s="4"/>
      <c r="N72" s="4"/>
      <c r="O72" s="4"/>
      <c r="P72" s="4"/>
      <c r="Q72" s="4"/>
      <c r="R72" s="4"/>
      <c r="S72" s="4"/>
      <c r="T72" s="4"/>
      <c r="U72" s="4"/>
      <c r="V72" s="4"/>
      <c r="W72" s="4"/>
      <c r="X72" s="4"/>
      <c r="Y72" s="4"/>
      <c r="Z72" s="4"/>
    </row>
    <row r="73" spans="1:26" ht="12.75" customHeight="1">
      <c r="A73" s="8"/>
      <c r="B73" s="9"/>
      <c r="C73" s="10"/>
      <c r="D73" s="8"/>
      <c r="E73" s="8"/>
      <c r="F73" s="4"/>
      <c r="G73" s="4"/>
      <c r="H73" s="4"/>
      <c r="I73" s="4"/>
      <c r="J73" s="4"/>
      <c r="K73" s="4"/>
      <c r="L73" s="4"/>
      <c r="M73" s="4"/>
      <c r="N73" s="4"/>
      <c r="O73" s="4"/>
      <c r="P73" s="4"/>
      <c r="Q73" s="4"/>
      <c r="R73" s="4"/>
      <c r="S73" s="4"/>
      <c r="T73" s="4"/>
      <c r="U73" s="4"/>
      <c r="V73" s="4"/>
      <c r="W73" s="4"/>
      <c r="X73" s="4"/>
      <c r="Y73" s="4"/>
      <c r="Z73" s="4"/>
    </row>
    <row r="74" spans="1:26" ht="12.75" customHeight="1">
      <c r="A74" s="8"/>
      <c r="B74" s="9"/>
      <c r="C74" s="10"/>
      <c r="D74" s="8"/>
      <c r="E74" s="8"/>
      <c r="F74" s="4"/>
      <c r="G74" s="4"/>
      <c r="H74" s="4"/>
      <c r="I74" s="4"/>
      <c r="J74" s="4"/>
      <c r="K74" s="4"/>
      <c r="L74" s="4"/>
      <c r="M74" s="4"/>
      <c r="N74" s="4"/>
      <c r="O74" s="4"/>
      <c r="P74" s="4"/>
      <c r="Q74" s="4"/>
      <c r="R74" s="4"/>
      <c r="S74" s="4"/>
      <c r="T74" s="4"/>
      <c r="U74" s="4"/>
      <c r="V74" s="4"/>
      <c r="W74" s="4"/>
      <c r="X74" s="4"/>
      <c r="Y74" s="4"/>
      <c r="Z74" s="4"/>
    </row>
    <row r="75" spans="1:26" ht="12.75" customHeight="1">
      <c r="A75" s="8"/>
      <c r="B75" s="9"/>
      <c r="C75" s="10"/>
      <c r="D75" s="8"/>
      <c r="E75" s="8"/>
      <c r="F75" s="4"/>
      <c r="G75" s="4"/>
      <c r="H75" s="4"/>
      <c r="I75" s="4"/>
      <c r="J75" s="4"/>
      <c r="K75" s="4"/>
      <c r="L75" s="4"/>
      <c r="M75" s="4"/>
      <c r="N75" s="4"/>
      <c r="O75" s="4"/>
      <c r="P75" s="4"/>
      <c r="Q75" s="4"/>
      <c r="R75" s="4"/>
      <c r="S75" s="4"/>
      <c r="T75" s="4"/>
      <c r="U75" s="4"/>
      <c r="V75" s="4"/>
      <c r="W75" s="4"/>
      <c r="X75" s="4"/>
      <c r="Y75" s="4"/>
      <c r="Z75" s="4"/>
    </row>
    <row r="76" spans="1:26" ht="12.75" customHeight="1">
      <c r="A76" s="8"/>
      <c r="B76" s="9"/>
      <c r="C76" s="10"/>
      <c r="D76" s="8"/>
      <c r="E76" s="8"/>
      <c r="F76" s="4"/>
      <c r="G76" s="4"/>
      <c r="H76" s="4"/>
      <c r="I76" s="4"/>
      <c r="J76" s="4"/>
      <c r="K76" s="4"/>
      <c r="L76" s="4"/>
      <c r="M76" s="4"/>
      <c r="N76" s="4"/>
      <c r="O76" s="4"/>
      <c r="P76" s="4"/>
      <c r="Q76" s="4"/>
      <c r="R76" s="4"/>
      <c r="S76" s="4"/>
      <c r="T76" s="4"/>
      <c r="U76" s="4"/>
      <c r="V76" s="4"/>
      <c r="W76" s="4"/>
      <c r="X76" s="4"/>
      <c r="Y76" s="4"/>
      <c r="Z76" s="4"/>
    </row>
    <row r="77" spans="1:26" ht="12.75" customHeight="1">
      <c r="A77" s="8"/>
      <c r="B77" s="9"/>
      <c r="C77" s="10"/>
      <c r="D77" s="8"/>
      <c r="E77" s="8"/>
      <c r="F77" s="4"/>
      <c r="G77" s="4"/>
      <c r="H77" s="4"/>
      <c r="I77" s="4"/>
      <c r="J77" s="4"/>
      <c r="K77" s="4"/>
      <c r="L77" s="4"/>
      <c r="M77" s="4"/>
      <c r="N77" s="4"/>
      <c r="O77" s="4"/>
      <c r="P77" s="4"/>
      <c r="Q77" s="4"/>
      <c r="R77" s="4"/>
      <c r="S77" s="4"/>
      <c r="T77" s="4"/>
      <c r="U77" s="4"/>
      <c r="V77" s="4"/>
      <c r="W77" s="4"/>
      <c r="X77" s="4"/>
      <c r="Y77" s="4"/>
      <c r="Z77" s="4"/>
    </row>
    <row r="78" spans="1:26" ht="12.75" customHeight="1">
      <c r="A78" s="8"/>
      <c r="B78" s="9"/>
      <c r="C78" s="10"/>
      <c r="D78" s="8"/>
      <c r="E78" s="8"/>
      <c r="F78" s="4"/>
      <c r="G78" s="4"/>
      <c r="H78" s="4"/>
      <c r="I78" s="4"/>
      <c r="J78" s="4"/>
      <c r="K78" s="4"/>
      <c r="L78" s="4"/>
      <c r="M78" s="4"/>
      <c r="N78" s="4"/>
      <c r="O78" s="4"/>
      <c r="P78" s="4"/>
      <c r="Q78" s="4"/>
      <c r="R78" s="4"/>
      <c r="S78" s="4"/>
      <c r="T78" s="4"/>
      <c r="U78" s="4"/>
      <c r="V78" s="4"/>
      <c r="W78" s="4"/>
      <c r="X78" s="4"/>
      <c r="Y78" s="4"/>
      <c r="Z78" s="4"/>
    </row>
    <row r="79" spans="1:26" ht="12.75" customHeight="1">
      <c r="A79" s="8"/>
      <c r="B79" s="9"/>
      <c r="C79" s="10"/>
      <c r="D79" s="8"/>
      <c r="E79" s="8"/>
      <c r="F79" s="4"/>
      <c r="G79" s="4"/>
      <c r="H79" s="4"/>
      <c r="I79" s="4"/>
      <c r="J79" s="4"/>
      <c r="K79" s="4"/>
      <c r="L79" s="4"/>
      <c r="M79" s="4"/>
      <c r="N79" s="4"/>
      <c r="O79" s="4"/>
      <c r="P79" s="4"/>
      <c r="Q79" s="4"/>
      <c r="R79" s="4"/>
      <c r="S79" s="4"/>
      <c r="T79" s="4"/>
      <c r="U79" s="4"/>
      <c r="V79" s="4"/>
      <c r="W79" s="4"/>
      <c r="X79" s="4"/>
      <c r="Y79" s="4"/>
      <c r="Z79" s="4"/>
    </row>
    <row r="80" spans="1:26" ht="12.75" customHeight="1">
      <c r="A80" s="8"/>
      <c r="B80" s="9"/>
      <c r="C80" s="10"/>
      <c r="D80" s="8"/>
      <c r="E80" s="8"/>
      <c r="F80" s="4"/>
      <c r="G80" s="4"/>
      <c r="H80" s="4"/>
      <c r="I80" s="4"/>
      <c r="J80" s="4"/>
      <c r="K80" s="4"/>
      <c r="L80" s="4"/>
      <c r="M80" s="4"/>
      <c r="N80" s="4"/>
      <c r="O80" s="4"/>
      <c r="P80" s="4"/>
      <c r="Q80" s="4"/>
      <c r="R80" s="4"/>
      <c r="S80" s="4"/>
      <c r="T80" s="4"/>
      <c r="U80" s="4"/>
      <c r="V80" s="4"/>
      <c r="W80" s="4"/>
      <c r="X80" s="4"/>
      <c r="Y80" s="4"/>
      <c r="Z80" s="4"/>
    </row>
    <row r="81" spans="1:26" ht="12.75" customHeight="1">
      <c r="A81" s="8"/>
      <c r="B81" s="9"/>
      <c r="C81" s="10"/>
      <c r="D81" s="8"/>
      <c r="E81" s="8"/>
      <c r="F81" s="4"/>
      <c r="G81" s="4"/>
      <c r="H81" s="4"/>
      <c r="I81" s="4"/>
      <c r="J81" s="4"/>
      <c r="K81" s="4"/>
      <c r="L81" s="4"/>
      <c r="M81" s="4"/>
      <c r="N81" s="4"/>
      <c r="O81" s="4"/>
      <c r="P81" s="4"/>
      <c r="Q81" s="4"/>
      <c r="R81" s="4"/>
      <c r="S81" s="4"/>
      <c r="T81" s="4"/>
      <c r="U81" s="4"/>
      <c r="V81" s="4"/>
      <c r="W81" s="4"/>
      <c r="X81" s="4"/>
      <c r="Y81" s="4"/>
      <c r="Z81" s="4"/>
    </row>
    <row r="82" spans="1:26" ht="12.75" customHeight="1">
      <c r="A82" s="8"/>
      <c r="B82" s="9"/>
      <c r="C82" s="10"/>
      <c r="D82" s="8"/>
      <c r="E82" s="8"/>
      <c r="F82" s="4"/>
      <c r="G82" s="4"/>
      <c r="H82" s="4"/>
      <c r="I82" s="4"/>
      <c r="J82" s="4"/>
      <c r="K82" s="4"/>
      <c r="L82" s="4"/>
      <c r="M82" s="4"/>
      <c r="N82" s="4"/>
      <c r="O82" s="4"/>
      <c r="P82" s="4"/>
      <c r="Q82" s="4"/>
      <c r="R82" s="4"/>
      <c r="S82" s="4"/>
      <c r="T82" s="4"/>
      <c r="U82" s="4"/>
      <c r="V82" s="4"/>
      <c r="W82" s="4"/>
      <c r="X82" s="4"/>
      <c r="Y82" s="4"/>
      <c r="Z82" s="4"/>
    </row>
    <row r="83" spans="1:26" ht="12.75" customHeight="1">
      <c r="A83" s="8"/>
      <c r="B83" s="9"/>
      <c r="C83" s="10"/>
      <c r="D83" s="8"/>
      <c r="E83" s="8"/>
      <c r="F83" s="4"/>
      <c r="G83" s="4"/>
      <c r="H83" s="4"/>
      <c r="I83" s="4"/>
      <c r="J83" s="4"/>
      <c r="K83" s="4"/>
      <c r="L83" s="4"/>
      <c r="M83" s="4"/>
      <c r="N83" s="4"/>
      <c r="O83" s="4"/>
      <c r="P83" s="4"/>
      <c r="Q83" s="4"/>
      <c r="R83" s="4"/>
      <c r="S83" s="4"/>
      <c r="T83" s="4"/>
      <c r="U83" s="4"/>
      <c r="V83" s="4"/>
      <c r="W83" s="4"/>
      <c r="X83" s="4"/>
      <c r="Y83" s="4"/>
      <c r="Z83" s="4"/>
    </row>
    <row r="84" spans="1:26" ht="12.75" customHeight="1">
      <c r="A84" s="8"/>
      <c r="B84" s="9"/>
      <c r="C84" s="10"/>
      <c r="D84" s="8"/>
      <c r="E84" s="8"/>
      <c r="F84" s="4"/>
      <c r="G84" s="4"/>
      <c r="H84" s="4"/>
      <c r="I84" s="4"/>
      <c r="J84" s="4"/>
      <c r="K84" s="4"/>
      <c r="L84" s="4"/>
      <c r="M84" s="4"/>
      <c r="N84" s="4"/>
      <c r="O84" s="4"/>
      <c r="P84" s="4"/>
      <c r="Q84" s="4"/>
      <c r="R84" s="4"/>
      <c r="S84" s="4"/>
      <c r="T84" s="4"/>
      <c r="U84" s="4"/>
      <c r="V84" s="4"/>
      <c r="W84" s="4"/>
      <c r="X84" s="4"/>
      <c r="Y84" s="4"/>
      <c r="Z84" s="4"/>
    </row>
    <row r="85" spans="1:26" ht="12.75" customHeight="1">
      <c r="A85" s="8"/>
      <c r="B85" s="9"/>
      <c r="C85" s="10"/>
      <c r="D85" s="8"/>
      <c r="E85" s="8"/>
      <c r="F85" s="4"/>
      <c r="G85" s="4"/>
      <c r="H85" s="4"/>
      <c r="I85" s="4"/>
      <c r="J85" s="4"/>
      <c r="K85" s="4"/>
      <c r="L85" s="4"/>
      <c r="M85" s="4"/>
      <c r="N85" s="4"/>
      <c r="O85" s="4"/>
      <c r="P85" s="4"/>
      <c r="Q85" s="4"/>
      <c r="R85" s="4"/>
      <c r="S85" s="4"/>
      <c r="T85" s="4"/>
      <c r="U85" s="4"/>
      <c r="V85" s="4"/>
      <c r="W85" s="4"/>
      <c r="X85" s="4"/>
      <c r="Y85" s="4"/>
      <c r="Z85" s="4"/>
    </row>
    <row r="86" spans="1:26" ht="12.75" customHeight="1">
      <c r="A86" s="8"/>
      <c r="B86" s="9"/>
      <c r="C86" s="10"/>
      <c r="D86" s="8"/>
      <c r="E86" s="8"/>
      <c r="F86" s="4"/>
      <c r="G86" s="4"/>
      <c r="H86" s="4"/>
      <c r="I86" s="4"/>
      <c r="J86" s="4"/>
      <c r="K86" s="4"/>
      <c r="L86" s="4"/>
      <c r="M86" s="4"/>
      <c r="N86" s="4"/>
      <c r="O86" s="4"/>
      <c r="P86" s="4"/>
      <c r="Q86" s="4"/>
      <c r="R86" s="4"/>
      <c r="S86" s="4"/>
      <c r="T86" s="4"/>
      <c r="U86" s="4"/>
      <c r="V86" s="4"/>
      <c r="W86" s="4"/>
      <c r="X86" s="4"/>
      <c r="Y86" s="4"/>
      <c r="Z86" s="4"/>
    </row>
    <row r="87" spans="1:26" ht="12.75" customHeight="1">
      <c r="A87" s="8"/>
      <c r="B87" s="9"/>
      <c r="C87" s="10"/>
      <c r="D87" s="8"/>
      <c r="E87" s="8"/>
      <c r="F87" s="4"/>
      <c r="G87" s="4"/>
      <c r="H87" s="4"/>
      <c r="I87" s="4"/>
      <c r="J87" s="4"/>
      <c r="K87" s="4"/>
      <c r="L87" s="4"/>
      <c r="M87" s="4"/>
      <c r="N87" s="4"/>
      <c r="O87" s="4"/>
      <c r="P87" s="4"/>
      <c r="Q87" s="4"/>
      <c r="R87" s="4"/>
      <c r="S87" s="4"/>
      <c r="T87" s="4"/>
      <c r="U87" s="4"/>
      <c r="V87" s="4"/>
      <c r="W87" s="4"/>
      <c r="X87" s="4"/>
      <c r="Y87" s="4"/>
      <c r="Z87" s="4"/>
    </row>
    <row r="88" spans="1:26" ht="12.75" customHeight="1">
      <c r="A88" s="8"/>
      <c r="B88" s="9"/>
      <c r="C88" s="10"/>
      <c r="D88" s="8"/>
      <c r="E88" s="8"/>
      <c r="F88" s="4"/>
      <c r="G88" s="4"/>
      <c r="H88" s="4"/>
      <c r="I88" s="4"/>
      <c r="J88" s="4"/>
      <c r="K88" s="4"/>
      <c r="L88" s="4"/>
      <c r="M88" s="4"/>
      <c r="N88" s="4"/>
      <c r="O88" s="4"/>
      <c r="P88" s="4"/>
      <c r="Q88" s="4"/>
      <c r="R88" s="4"/>
      <c r="S88" s="4"/>
      <c r="T88" s="4"/>
      <c r="U88" s="4"/>
      <c r="V88" s="4"/>
      <c r="W88" s="4"/>
      <c r="X88" s="4"/>
      <c r="Y88" s="4"/>
      <c r="Z88" s="4"/>
    </row>
    <row r="89" spans="1:26" ht="12.75" customHeight="1">
      <c r="A89" s="8"/>
      <c r="B89" s="9"/>
      <c r="C89" s="10"/>
      <c r="D89" s="8"/>
      <c r="E89" s="8"/>
      <c r="F89" s="4"/>
      <c r="G89" s="4"/>
      <c r="H89" s="4"/>
      <c r="I89" s="4"/>
      <c r="J89" s="4"/>
      <c r="K89" s="4"/>
      <c r="L89" s="4"/>
      <c r="M89" s="4"/>
      <c r="N89" s="4"/>
      <c r="O89" s="4"/>
      <c r="P89" s="4"/>
      <c r="Q89" s="4"/>
      <c r="R89" s="4"/>
      <c r="S89" s="4"/>
      <c r="T89" s="4"/>
      <c r="U89" s="4"/>
      <c r="V89" s="4"/>
      <c r="W89" s="4"/>
      <c r="X89" s="4"/>
      <c r="Y89" s="4"/>
      <c r="Z89" s="4"/>
    </row>
    <row r="90" spans="1:26" ht="12.75" customHeight="1">
      <c r="A90" s="8"/>
      <c r="B90" s="9"/>
      <c r="C90" s="10"/>
      <c r="D90" s="8"/>
      <c r="E90" s="8"/>
      <c r="F90" s="4"/>
      <c r="G90" s="4"/>
      <c r="H90" s="4"/>
      <c r="I90" s="4"/>
      <c r="J90" s="4"/>
      <c r="K90" s="4"/>
      <c r="L90" s="4"/>
      <c r="M90" s="4"/>
      <c r="N90" s="4"/>
      <c r="O90" s="4"/>
      <c r="P90" s="4"/>
      <c r="Q90" s="4"/>
      <c r="R90" s="4"/>
      <c r="S90" s="4"/>
      <c r="T90" s="4"/>
      <c r="U90" s="4"/>
      <c r="V90" s="4"/>
      <c r="W90" s="4"/>
      <c r="X90" s="4"/>
      <c r="Y90" s="4"/>
      <c r="Z90" s="4"/>
    </row>
    <row r="91" spans="1:26" ht="12.75" customHeight="1">
      <c r="A91" s="8"/>
      <c r="B91" s="9"/>
      <c r="C91" s="10"/>
      <c r="D91" s="8"/>
      <c r="E91" s="8"/>
      <c r="F91" s="4"/>
      <c r="G91" s="4"/>
      <c r="H91" s="4"/>
      <c r="I91" s="4"/>
      <c r="J91" s="4"/>
      <c r="K91" s="4"/>
      <c r="L91" s="4"/>
      <c r="M91" s="4"/>
      <c r="N91" s="4"/>
      <c r="O91" s="4"/>
      <c r="P91" s="4"/>
      <c r="Q91" s="4"/>
      <c r="R91" s="4"/>
      <c r="S91" s="4"/>
      <c r="T91" s="4"/>
      <c r="U91" s="4"/>
      <c r="V91" s="4"/>
      <c r="W91" s="4"/>
      <c r="X91" s="4"/>
      <c r="Y91" s="4"/>
      <c r="Z91" s="4"/>
    </row>
    <row r="92" spans="1:26" ht="12.75" customHeight="1">
      <c r="A92" s="8"/>
      <c r="B92" s="9"/>
      <c r="C92" s="10"/>
      <c r="D92" s="8"/>
      <c r="E92" s="8"/>
      <c r="F92" s="4"/>
      <c r="G92" s="4"/>
      <c r="H92" s="4"/>
      <c r="I92" s="4"/>
      <c r="J92" s="4"/>
      <c r="K92" s="4"/>
      <c r="L92" s="4"/>
      <c r="M92" s="4"/>
      <c r="N92" s="4"/>
      <c r="O92" s="4"/>
      <c r="P92" s="4"/>
      <c r="Q92" s="4"/>
      <c r="R92" s="4"/>
      <c r="S92" s="4"/>
      <c r="T92" s="4"/>
      <c r="U92" s="4"/>
      <c r="V92" s="4"/>
      <c r="W92" s="4"/>
      <c r="X92" s="4"/>
      <c r="Y92" s="4"/>
      <c r="Z92" s="4"/>
    </row>
    <row r="93" spans="1:26" ht="12.75" customHeight="1">
      <c r="A93" s="8"/>
      <c r="B93" s="9"/>
      <c r="C93" s="10"/>
      <c r="D93" s="8"/>
      <c r="E93" s="8"/>
      <c r="F93" s="4"/>
      <c r="G93" s="4"/>
      <c r="H93" s="4"/>
      <c r="I93" s="4"/>
      <c r="J93" s="4"/>
      <c r="K93" s="4"/>
      <c r="L93" s="4"/>
      <c r="M93" s="4"/>
      <c r="N93" s="4"/>
      <c r="O93" s="4"/>
      <c r="P93" s="4"/>
      <c r="Q93" s="4"/>
      <c r="R93" s="4"/>
      <c r="S93" s="4"/>
      <c r="T93" s="4"/>
      <c r="U93" s="4"/>
      <c r="V93" s="4"/>
      <c r="W93" s="4"/>
      <c r="X93" s="4"/>
      <c r="Y93" s="4"/>
      <c r="Z93" s="4"/>
    </row>
    <row r="94" spans="1:26" ht="12.75" customHeight="1">
      <c r="A94" s="8"/>
      <c r="B94" s="9"/>
      <c r="C94" s="10"/>
      <c r="D94" s="8"/>
      <c r="E94" s="8"/>
      <c r="F94" s="4"/>
      <c r="G94" s="4"/>
      <c r="H94" s="4"/>
      <c r="I94" s="4"/>
      <c r="J94" s="4"/>
      <c r="K94" s="4"/>
      <c r="L94" s="4"/>
      <c r="M94" s="4"/>
      <c r="N94" s="4"/>
      <c r="O94" s="4"/>
      <c r="P94" s="4"/>
      <c r="Q94" s="4"/>
      <c r="R94" s="4"/>
      <c r="S94" s="4"/>
      <c r="T94" s="4"/>
      <c r="U94" s="4"/>
      <c r="V94" s="4"/>
      <c r="W94" s="4"/>
      <c r="X94" s="4"/>
      <c r="Y94" s="4"/>
      <c r="Z94" s="4"/>
    </row>
    <row r="95" spans="1:26" ht="12.75" customHeight="1">
      <c r="A95" s="8"/>
      <c r="B95" s="9"/>
      <c r="C95" s="10"/>
      <c r="D95" s="8"/>
      <c r="E95" s="8"/>
      <c r="F95" s="4"/>
      <c r="G95" s="4"/>
      <c r="H95" s="4"/>
      <c r="I95" s="4"/>
      <c r="J95" s="4"/>
      <c r="K95" s="4"/>
      <c r="L95" s="4"/>
      <c r="M95" s="4"/>
      <c r="N95" s="4"/>
      <c r="O95" s="4"/>
      <c r="P95" s="4"/>
      <c r="Q95" s="4"/>
      <c r="R95" s="4"/>
      <c r="S95" s="4"/>
      <c r="T95" s="4"/>
      <c r="U95" s="4"/>
      <c r="V95" s="4"/>
      <c r="W95" s="4"/>
      <c r="X95" s="4"/>
      <c r="Y95" s="4"/>
      <c r="Z95" s="4"/>
    </row>
    <row r="96" spans="1:26" ht="12.75" customHeight="1">
      <c r="A96" s="8"/>
      <c r="B96" s="9"/>
      <c r="C96" s="10"/>
      <c r="D96" s="8"/>
      <c r="E96" s="8"/>
      <c r="F96" s="4"/>
      <c r="G96" s="4"/>
      <c r="H96" s="4"/>
      <c r="I96" s="4"/>
      <c r="J96" s="4"/>
      <c r="K96" s="4"/>
      <c r="L96" s="4"/>
      <c r="M96" s="4"/>
      <c r="N96" s="4"/>
      <c r="O96" s="4"/>
      <c r="P96" s="4"/>
      <c r="Q96" s="4"/>
      <c r="R96" s="4"/>
      <c r="S96" s="4"/>
      <c r="T96" s="4"/>
      <c r="U96" s="4"/>
      <c r="V96" s="4"/>
      <c r="W96" s="4"/>
      <c r="X96" s="4"/>
      <c r="Y96" s="4"/>
      <c r="Z96" s="4"/>
    </row>
    <row r="97" spans="1:26" ht="12.75" customHeight="1">
      <c r="A97" s="8"/>
      <c r="B97" s="9"/>
      <c r="C97" s="10"/>
      <c r="D97" s="8"/>
      <c r="E97" s="8"/>
      <c r="F97" s="4"/>
      <c r="G97" s="4"/>
      <c r="H97" s="4"/>
      <c r="I97" s="4"/>
      <c r="J97" s="4"/>
      <c r="K97" s="4"/>
      <c r="L97" s="4"/>
      <c r="M97" s="4"/>
      <c r="N97" s="4"/>
      <c r="O97" s="4"/>
      <c r="P97" s="4"/>
      <c r="Q97" s="4"/>
      <c r="R97" s="4"/>
      <c r="S97" s="4"/>
      <c r="T97" s="4"/>
      <c r="U97" s="4"/>
      <c r="V97" s="4"/>
      <c r="W97" s="4"/>
      <c r="X97" s="4"/>
      <c r="Y97" s="4"/>
      <c r="Z97" s="4"/>
    </row>
    <row r="98" spans="1:26" ht="12.75" customHeight="1">
      <c r="A98" s="8"/>
      <c r="B98" s="9"/>
      <c r="C98" s="10"/>
      <c r="D98" s="8"/>
      <c r="E98" s="8"/>
      <c r="F98" s="4"/>
      <c r="G98" s="4"/>
      <c r="H98" s="4"/>
      <c r="I98" s="4"/>
      <c r="J98" s="4"/>
      <c r="K98" s="4"/>
      <c r="L98" s="4"/>
      <c r="M98" s="4"/>
      <c r="N98" s="4"/>
      <c r="O98" s="4"/>
      <c r="P98" s="4"/>
      <c r="Q98" s="4"/>
      <c r="R98" s="4"/>
      <c r="S98" s="4"/>
      <c r="T98" s="4"/>
      <c r="U98" s="4"/>
      <c r="V98" s="4"/>
      <c r="W98" s="4"/>
      <c r="X98" s="4"/>
      <c r="Y98" s="4"/>
      <c r="Z98" s="4"/>
    </row>
    <row r="99" spans="1:26" ht="12.75" customHeight="1">
      <c r="A99" s="8"/>
      <c r="B99" s="9"/>
      <c r="C99" s="10"/>
      <c r="D99" s="8"/>
      <c r="E99" s="8"/>
      <c r="F99" s="4"/>
      <c r="G99" s="4"/>
      <c r="H99" s="4"/>
      <c r="I99" s="4"/>
      <c r="J99" s="4"/>
      <c r="K99" s="4"/>
      <c r="L99" s="4"/>
      <c r="M99" s="4"/>
      <c r="N99" s="4"/>
      <c r="O99" s="4"/>
      <c r="P99" s="4"/>
      <c r="Q99" s="4"/>
      <c r="R99" s="4"/>
      <c r="S99" s="4"/>
      <c r="T99" s="4"/>
      <c r="U99" s="4"/>
      <c r="V99" s="4"/>
      <c r="W99" s="4"/>
      <c r="X99" s="4"/>
      <c r="Y99" s="4"/>
      <c r="Z99" s="4"/>
    </row>
    <row r="100" spans="1:26" ht="12.75" customHeight="1">
      <c r="A100" s="8"/>
      <c r="B100" s="9"/>
      <c r="C100" s="10"/>
      <c r="D100" s="8"/>
      <c r="E100" s="8"/>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8"/>
      <c r="B101" s="9"/>
      <c r="C101" s="10"/>
      <c r="D101" s="8"/>
      <c r="E101" s="8"/>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8"/>
      <c r="B102" s="9"/>
      <c r="C102" s="10"/>
      <c r="D102" s="8"/>
      <c r="E102" s="8"/>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8"/>
      <c r="B103" s="9"/>
      <c r="C103" s="10"/>
      <c r="D103" s="8"/>
      <c r="E103" s="8"/>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8"/>
      <c r="B104" s="9"/>
      <c r="C104" s="10"/>
      <c r="D104" s="8"/>
      <c r="E104" s="8"/>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8"/>
      <c r="B105" s="9"/>
      <c r="C105" s="10"/>
      <c r="D105" s="8"/>
      <c r="E105" s="8"/>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8"/>
      <c r="B106" s="9"/>
      <c r="C106" s="10"/>
      <c r="D106" s="8"/>
      <c r="E106" s="8"/>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8"/>
      <c r="B107" s="9"/>
      <c r="C107" s="10"/>
      <c r="D107" s="8"/>
      <c r="E107" s="8"/>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8"/>
      <c r="B108" s="9"/>
      <c r="C108" s="10"/>
      <c r="D108" s="8"/>
      <c r="E108" s="8"/>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8"/>
      <c r="B109" s="9"/>
      <c r="C109" s="10"/>
      <c r="D109" s="8"/>
      <c r="E109" s="8"/>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8"/>
      <c r="B110" s="9"/>
      <c r="C110" s="10"/>
      <c r="D110" s="8"/>
      <c r="E110" s="8"/>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8"/>
      <c r="B111" s="9"/>
      <c r="C111" s="10"/>
      <c r="D111" s="8"/>
      <c r="E111" s="8"/>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8"/>
      <c r="B112" s="9"/>
      <c r="C112" s="10"/>
      <c r="D112" s="8"/>
      <c r="E112" s="8"/>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8"/>
      <c r="B113" s="9"/>
      <c r="C113" s="10"/>
      <c r="D113" s="8"/>
      <c r="E113" s="8"/>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8"/>
      <c r="B114" s="9"/>
      <c r="C114" s="10"/>
      <c r="D114" s="8"/>
      <c r="E114" s="8"/>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8"/>
      <c r="B115" s="9"/>
      <c r="C115" s="10"/>
      <c r="D115" s="8"/>
      <c r="E115" s="8"/>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8"/>
      <c r="B116" s="9"/>
      <c r="C116" s="10"/>
      <c r="D116" s="8"/>
      <c r="E116" s="8"/>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8"/>
      <c r="B117" s="9"/>
      <c r="C117" s="10"/>
      <c r="D117" s="8"/>
      <c r="E117" s="8"/>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8"/>
      <c r="B118" s="9"/>
      <c r="C118" s="10"/>
      <c r="D118" s="8"/>
      <c r="E118" s="8"/>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8"/>
      <c r="B119" s="9"/>
      <c r="C119" s="10"/>
      <c r="D119" s="8"/>
      <c r="E119" s="8"/>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8"/>
      <c r="B120" s="9"/>
      <c r="C120" s="10"/>
      <c r="D120" s="8"/>
      <c r="E120" s="8"/>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8"/>
      <c r="B121" s="9"/>
      <c r="C121" s="10"/>
      <c r="D121" s="8"/>
      <c r="E121" s="8"/>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8"/>
      <c r="B122" s="9"/>
      <c r="C122" s="10"/>
      <c r="D122" s="8"/>
      <c r="E122" s="8"/>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8"/>
      <c r="B123" s="9"/>
      <c r="C123" s="10"/>
      <c r="D123" s="8"/>
      <c r="E123" s="8"/>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8"/>
      <c r="B124" s="9"/>
      <c r="C124" s="10"/>
      <c r="D124" s="8"/>
      <c r="E124" s="8"/>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8"/>
      <c r="B125" s="9"/>
      <c r="C125" s="10"/>
      <c r="D125" s="8"/>
      <c r="E125" s="8"/>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8"/>
      <c r="B126" s="9"/>
      <c r="C126" s="10"/>
      <c r="D126" s="8"/>
      <c r="E126" s="8"/>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8"/>
      <c r="B127" s="9"/>
      <c r="C127" s="10"/>
      <c r="D127" s="8"/>
      <c r="E127" s="8"/>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8"/>
      <c r="B128" s="9"/>
      <c r="C128" s="10"/>
      <c r="D128" s="8"/>
      <c r="E128" s="8"/>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8"/>
      <c r="B129" s="9"/>
      <c r="C129" s="10"/>
      <c r="D129" s="8"/>
      <c r="E129" s="8"/>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8"/>
      <c r="B130" s="9"/>
      <c r="C130" s="10"/>
      <c r="D130" s="8"/>
      <c r="E130" s="8"/>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8"/>
      <c r="B131" s="9"/>
      <c r="C131" s="10"/>
      <c r="D131" s="8"/>
      <c r="E131" s="8"/>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8"/>
      <c r="B132" s="9"/>
      <c r="C132" s="10"/>
      <c r="D132" s="8"/>
      <c r="E132" s="8"/>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8"/>
      <c r="B133" s="9"/>
      <c r="C133" s="10"/>
      <c r="D133" s="8"/>
      <c r="E133" s="8"/>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8"/>
      <c r="B134" s="9"/>
      <c r="C134" s="10"/>
      <c r="D134" s="8"/>
      <c r="E134" s="8"/>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8"/>
      <c r="B135" s="9"/>
      <c r="C135" s="10"/>
      <c r="D135" s="8"/>
      <c r="E135" s="8"/>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8"/>
      <c r="B136" s="9"/>
      <c r="C136" s="10"/>
      <c r="D136" s="8"/>
      <c r="E136" s="8"/>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8"/>
      <c r="B137" s="9"/>
      <c r="C137" s="10"/>
      <c r="D137" s="8"/>
      <c r="E137" s="8"/>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8"/>
      <c r="B138" s="9"/>
      <c r="C138" s="10"/>
      <c r="D138" s="8"/>
      <c r="E138" s="8"/>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8"/>
      <c r="B139" s="9"/>
      <c r="C139" s="10"/>
      <c r="D139" s="8"/>
      <c r="E139" s="8"/>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8"/>
      <c r="B140" s="9"/>
      <c r="C140" s="10"/>
      <c r="D140" s="8"/>
      <c r="E140" s="8"/>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8"/>
      <c r="B141" s="9"/>
      <c r="C141" s="10"/>
      <c r="D141" s="8"/>
      <c r="E141" s="8"/>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8"/>
      <c r="B142" s="9"/>
      <c r="C142" s="10"/>
      <c r="D142" s="8"/>
      <c r="E142" s="8"/>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8"/>
      <c r="B143" s="9"/>
      <c r="C143" s="10"/>
      <c r="D143" s="8"/>
      <c r="E143" s="8"/>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8"/>
      <c r="B144" s="9"/>
      <c r="C144" s="10"/>
      <c r="D144" s="8"/>
      <c r="E144" s="8"/>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8"/>
      <c r="B145" s="9"/>
      <c r="C145" s="10"/>
      <c r="D145" s="8"/>
      <c r="E145" s="8"/>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8"/>
      <c r="B146" s="9"/>
      <c r="C146" s="10"/>
      <c r="D146" s="8"/>
      <c r="E146" s="8"/>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8"/>
      <c r="B147" s="9"/>
      <c r="C147" s="10"/>
      <c r="D147" s="8"/>
      <c r="E147" s="8"/>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8"/>
      <c r="B148" s="9"/>
      <c r="C148" s="10"/>
      <c r="D148" s="8"/>
      <c r="E148" s="8"/>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8"/>
      <c r="B149" s="9"/>
      <c r="C149" s="10"/>
      <c r="D149" s="8"/>
      <c r="E149" s="8"/>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8"/>
      <c r="B150" s="9"/>
      <c r="C150" s="10"/>
      <c r="D150" s="8"/>
      <c r="E150" s="8"/>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8"/>
      <c r="B151" s="9"/>
      <c r="C151" s="10"/>
      <c r="D151" s="8"/>
      <c r="E151" s="8"/>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8"/>
      <c r="B152" s="9"/>
      <c r="C152" s="10"/>
      <c r="D152" s="8"/>
      <c r="E152" s="8"/>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8"/>
      <c r="B153" s="9"/>
      <c r="C153" s="10"/>
      <c r="D153" s="8"/>
      <c r="E153" s="8"/>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8"/>
      <c r="B154" s="9"/>
      <c r="C154" s="10"/>
      <c r="D154" s="8"/>
      <c r="E154" s="8"/>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8"/>
      <c r="B155" s="9"/>
      <c r="C155" s="10"/>
      <c r="D155" s="8"/>
      <c r="E155" s="8"/>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8"/>
      <c r="B156" s="9"/>
      <c r="C156" s="10"/>
      <c r="D156" s="8"/>
      <c r="E156" s="8"/>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8"/>
      <c r="B157" s="9"/>
      <c r="C157" s="10"/>
      <c r="D157" s="8"/>
      <c r="E157" s="8"/>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8"/>
      <c r="B158" s="9"/>
      <c r="C158" s="10"/>
      <c r="D158" s="8"/>
      <c r="E158" s="8"/>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8"/>
      <c r="B159" s="9"/>
      <c r="C159" s="10"/>
      <c r="D159" s="8"/>
      <c r="E159" s="8"/>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8"/>
      <c r="B160" s="9"/>
      <c r="C160" s="10"/>
      <c r="D160" s="8"/>
      <c r="E160" s="8"/>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8"/>
      <c r="B161" s="9"/>
      <c r="C161" s="10"/>
      <c r="D161" s="8"/>
      <c r="E161" s="8"/>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8"/>
      <c r="B162" s="9"/>
      <c r="C162" s="10"/>
      <c r="D162" s="8"/>
      <c r="E162" s="8"/>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8"/>
      <c r="B163" s="9"/>
      <c r="C163" s="10"/>
      <c r="D163" s="8"/>
      <c r="E163" s="8"/>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8"/>
      <c r="B164" s="9"/>
      <c r="C164" s="10"/>
      <c r="D164" s="8"/>
      <c r="E164" s="8"/>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8"/>
      <c r="B165" s="9"/>
      <c r="C165" s="10"/>
      <c r="D165" s="8"/>
      <c r="E165" s="8"/>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8"/>
      <c r="B166" s="9"/>
      <c r="C166" s="10"/>
      <c r="D166" s="8"/>
      <c r="E166" s="8"/>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8"/>
      <c r="B167" s="9"/>
      <c r="C167" s="10"/>
      <c r="D167" s="8"/>
      <c r="E167" s="8"/>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8"/>
      <c r="B168" s="9"/>
      <c r="C168" s="10"/>
      <c r="D168" s="8"/>
      <c r="E168" s="8"/>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8"/>
      <c r="B169" s="9"/>
      <c r="C169" s="10"/>
      <c r="D169" s="8"/>
      <c r="E169" s="8"/>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8"/>
      <c r="B170" s="9"/>
      <c r="C170" s="10"/>
      <c r="D170" s="8"/>
      <c r="E170" s="8"/>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8"/>
      <c r="B171" s="9"/>
      <c r="C171" s="10"/>
      <c r="D171" s="8"/>
      <c r="E171" s="8"/>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8"/>
      <c r="B172" s="9"/>
      <c r="C172" s="10"/>
      <c r="D172" s="8"/>
      <c r="E172" s="8"/>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8"/>
      <c r="B173" s="9"/>
      <c r="C173" s="10"/>
      <c r="D173" s="8"/>
      <c r="E173" s="8"/>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8"/>
      <c r="B174" s="9"/>
      <c r="C174" s="10"/>
      <c r="D174" s="8"/>
      <c r="E174" s="8"/>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8"/>
      <c r="B175" s="9"/>
      <c r="C175" s="10"/>
      <c r="D175" s="8"/>
      <c r="E175" s="8"/>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8"/>
      <c r="B176" s="9"/>
      <c r="C176" s="10"/>
      <c r="D176" s="8"/>
      <c r="E176" s="8"/>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8"/>
      <c r="B177" s="9"/>
      <c r="C177" s="10"/>
      <c r="D177" s="8"/>
      <c r="E177" s="8"/>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8"/>
      <c r="B178" s="9"/>
      <c r="C178" s="10"/>
      <c r="D178" s="8"/>
      <c r="E178" s="8"/>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8"/>
      <c r="B179" s="9"/>
      <c r="C179" s="10"/>
      <c r="D179" s="8"/>
      <c r="E179" s="8"/>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8"/>
      <c r="B180" s="9"/>
      <c r="C180" s="10"/>
      <c r="D180" s="8"/>
      <c r="E180" s="8"/>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8"/>
      <c r="B181" s="9"/>
      <c r="C181" s="10"/>
      <c r="D181" s="8"/>
      <c r="E181" s="8"/>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8"/>
      <c r="B182" s="9"/>
      <c r="C182" s="10"/>
      <c r="D182" s="8"/>
      <c r="E182" s="8"/>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8"/>
      <c r="B183" s="9"/>
      <c r="C183" s="10"/>
      <c r="D183" s="8"/>
      <c r="E183" s="8"/>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8"/>
      <c r="B184" s="9"/>
      <c r="C184" s="10"/>
      <c r="D184" s="8"/>
      <c r="E184" s="8"/>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8"/>
      <c r="B185" s="9"/>
      <c r="C185" s="10"/>
      <c r="D185" s="8"/>
      <c r="E185" s="8"/>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8"/>
      <c r="B186" s="9"/>
      <c r="C186" s="10"/>
      <c r="D186" s="8"/>
      <c r="E186" s="8"/>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8"/>
      <c r="B187" s="9"/>
      <c r="C187" s="10"/>
      <c r="D187" s="8"/>
      <c r="E187" s="8"/>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8"/>
      <c r="B188" s="9"/>
      <c r="C188" s="10"/>
      <c r="D188" s="8"/>
      <c r="E188" s="8"/>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8"/>
      <c r="B189" s="9"/>
      <c r="C189" s="10"/>
      <c r="D189" s="8"/>
      <c r="E189" s="8"/>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8"/>
      <c r="B190" s="9"/>
      <c r="C190" s="10"/>
      <c r="D190" s="8"/>
      <c r="E190" s="8"/>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8"/>
      <c r="B191" s="9"/>
      <c r="C191" s="10"/>
      <c r="D191" s="8"/>
      <c r="E191" s="8"/>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8"/>
      <c r="B192" s="9"/>
      <c r="C192" s="10"/>
      <c r="D192" s="8"/>
      <c r="E192" s="8"/>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8"/>
      <c r="B193" s="9"/>
      <c r="C193" s="10"/>
      <c r="D193" s="8"/>
      <c r="E193" s="8"/>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8"/>
      <c r="B194" s="9"/>
      <c r="C194" s="10"/>
      <c r="D194" s="8"/>
      <c r="E194" s="8"/>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8"/>
      <c r="B195" s="9"/>
      <c r="C195" s="10"/>
      <c r="D195" s="8"/>
      <c r="E195" s="8"/>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8"/>
      <c r="B196" s="9"/>
      <c r="C196" s="10"/>
      <c r="D196" s="8"/>
      <c r="E196" s="8"/>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8"/>
      <c r="B197" s="9"/>
      <c r="C197" s="10"/>
      <c r="D197" s="8"/>
      <c r="E197" s="8"/>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8"/>
      <c r="B198" s="9"/>
      <c r="C198" s="10"/>
      <c r="D198" s="8"/>
      <c r="E198" s="8"/>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8"/>
      <c r="B199" s="9"/>
      <c r="C199" s="10"/>
      <c r="D199" s="8"/>
      <c r="E199" s="8"/>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8"/>
      <c r="B200" s="9"/>
      <c r="C200" s="10"/>
      <c r="D200" s="8"/>
      <c r="E200" s="8"/>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8"/>
      <c r="B201" s="9"/>
      <c r="C201" s="10"/>
      <c r="D201" s="8"/>
      <c r="E201" s="8"/>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8"/>
      <c r="B202" s="9"/>
      <c r="C202" s="10"/>
      <c r="D202" s="8"/>
      <c r="E202" s="8"/>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8"/>
      <c r="B203" s="9"/>
      <c r="C203" s="10"/>
      <c r="D203" s="8"/>
      <c r="E203" s="8"/>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8"/>
      <c r="B204" s="9"/>
      <c r="C204" s="10"/>
      <c r="D204" s="8"/>
      <c r="E204" s="8"/>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8"/>
      <c r="B205" s="9"/>
      <c r="C205" s="10"/>
      <c r="D205" s="8"/>
      <c r="E205" s="8"/>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8"/>
      <c r="B206" s="9"/>
      <c r="C206" s="10"/>
      <c r="D206" s="8"/>
      <c r="E206" s="8"/>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8"/>
      <c r="B207" s="9"/>
      <c r="C207" s="10"/>
      <c r="D207" s="8"/>
      <c r="E207" s="8"/>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8"/>
      <c r="B208" s="9"/>
      <c r="C208" s="10"/>
      <c r="D208" s="8"/>
      <c r="E208" s="8"/>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8"/>
      <c r="B209" s="9"/>
      <c r="C209" s="10"/>
      <c r="D209" s="8"/>
      <c r="E209" s="8"/>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8"/>
      <c r="B210" s="9"/>
      <c r="C210" s="10"/>
      <c r="D210" s="8"/>
      <c r="E210" s="8"/>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8"/>
      <c r="B211" s="9"/>
      <c r="C211" s="10"/>
      <c r="D211" s="8"/>
      <c r="E211" s="8"/>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8"/>
      <c r="B212" s="9"/>
      <c r="C212" s="10"/>
      <c r="D212" s="8"/>
      <c r="E212" s="8"/>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8"/>
      <c r="B213" s="9"/>
      <c r="C213" s="10"/>
      <c r="D213" s="8"/>
      <c r="E213" s="8"/>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8"/>
      <c r="B214" s="9"/>
      <c r="C214" s="10"/>
      <c r="D214" s="8"/>
      <c r="E214" s="8"/>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8"/>
      <c r="B215" s="9"/>
      <c r="C215" s="10"/>
      <c r="D215" s="8"/>
      <c r="E215" s="8"/>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8"/>
      <c r="B216" s="9"/>
      <c r="C216" s="10"/>
      <c r="D216" s="8"/>
      <c r="E216" s="8"/>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8"/>
      <c r="B217" s="9"/>
      <c r="C217" s="10"/>
      <c r="D217" s="8"/>
      <c r="E217" s="8"/>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8"/>
      <c r="B218" s="9"/>
      <c r="C218" s="10"/>
      <c r="D218" s="8"/>
      <c r="E218" s="8"/>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8"/>
      <c r="B219" s="9"/>
      <c r="C219" s="10"/>
      <c r="D219" s="8"/>
      <c r="E219" s="8"/>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8"/>
      <c r="B220" s="9"/>
      <c r="C220" s="10"/>
      <c r="D220" s="8"/>
      <c r="E220" s="8"/>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8"/>
      <c r="B221" s="9"/>
      <c r="C221" s="10"/>
      <c r="D221" s="8"/>
      <c r="E221" s="8"/>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8"/>
      <c r="B222" s="9"/>
      <c r="C222" s="10"/>
      <c r="D222" s="8"/>
      <c r="E222" s="8"/>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8"/>
      <c r="B223" s="9"/>
      <c r="C223" s="10"/>
      <c r="D223" s="8"/>
      <c r="E223" s="8"/>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8"/>
      <c r="B224" s="9"/>
      <c r="C224" s="10"/>
      <c r="D224" s="8"/>
      <c r="E224" s="8"/>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8"/>
      <c r="B225" s="9"/>
      <c r="C225" s="10"/>
      <c r="D225" s="8"/>
      <c r="E225" s="8"/>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8"/>
      <c r="B226" s="9"/>
      <c r="C226" s="10"/>
      <c r="D226" s="8"/>
      <c r="E226" s="8"/>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8"/>
      <c r="B227" s="9"/>
      <c r="C227" s="10"/>
      <c r="D227" s="8"/>
      <c r="E227" s="8"/>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8"/>
      <c r="B228" s="9"/>
      <c r="C228" s="10"/>
      <c r="D228" s="8"/>
      <c r="E228" s="8"/>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8"/>
      <c r="B229" s="9"/>
      <c r="C229" s="10"/>
      <c r="D229" s="8"/>
      <c r="E229" s="8"/>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8"/>
      <c r="B230" s="9"/>
      <c r="C230" s="10"/>
      <c r="D230" s="8"/>
      <c r="E230" s="8"/>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8"/>
      <c r="B231" s="9"/>
      <c r="C231" s="10"/>
      <c r="D231" s="8"/>
      <c r="E231" s="8"/>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8"/>
      <c r="B232" s="9"/>
      <c r="C232" s="10"/>
      <c r="D232" s="8"/>
      <c r="E232" s="8"/>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8"/>
      <c r="B233" s="9"/>
      <c r="C233" s="10"/>
      <c r="D233" s="8"/>
      <c r="E233" s="8"/>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8"/>
      <c r="B234" s="9"/>
      <c r="C234" s="10"/>
      <c r="D234" s="8"/>
      <c r="E234" s="8"/>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8"/>
      <c r="B235" s="9"/>
      <c r="C235" s="10"/>
      <c r="D235" s="8"/>
      <c r="E235" s="8"/>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8"/>
      <c r="B236" s="9"/>
      <c r="C236" s="10"/>
      <c r="D236" s="8"/>
      <c r="E236" s="8"/>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8"/>
      <c r="B237" s="9"/>
      <c r="C237" s="10"/>
      <c r="D237" s="8"/>
      <c r="E237" s="8"/>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8"/>
      <c r="B238" s="9"/>
      <c r="C238" s="10"/>
      <c r="D238" s="8"/>
      <c r="E238" s="8"/>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8"/>
      <c r="B239" s="9"/>
      <c r="C239" s="10"/>
      <c r="D239" s="8"/>
      <c r="E239" s="8"/>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8"/>
      <c r="B240" s="9"/>
      <c r="C240" s="10"/>
      <c r="D240" s="8"/>
      <c r="E240" s="8"/>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8"/>
      <c r="B241" s="9"/>
      <c r="C241" s="10"/>
      <c r="D241" s="8"/>
      <c r="E241" s="8"/>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8"/>
      <c r="B242" s="9"/>
      <c r="C242" s="10"/>
      <c r="D242" s="8"/>
      <c r="E242" s="8"/>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8"/>
      <c r="B243" s="9"/>
      <c r="C243" s="10"/>
      <c r="D243" s="8"/>
      <c r="E243" s="8"/>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8"/>
      <c r="B244" s="9"/>
      <c r="C244" s="10"/>
      <c r="D244" s="8"/>
      <c r="E244" s="8"/>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8"/>
      <c r="B245" s="9"/>
      <c r="C245" s="10"/>
      <c r="D245" s="8"/>
      <c r="E245" s="8"/>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8"/>
      <c r="B246" s="9"/>
      <c r="C246" s="10"/>
      <c r="D246" s="8"/>
      <c r="E246" s="8"/>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8"/>
      <c r="B247" s="9"/>
      <c r="C247" s="10"/>
      <c r="D247" s="8"/>
      <c r="E247" s="8"/>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8"/>
      <c r="B248" s="9"/>
      <c r="C248" s="10"/>
      <c r="D248" s="8"/>
      <c r="E248" s="8"/>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8"/>
      <c r="B249" s="9"/>
      <c r="C249" s="10"/>
      <c r="D249" s="8"/>
      <c r="E249" s="8"/>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8"/>
      <c r="B250" s="9"/>
      <c r="C250" s="10"/>
      <c r="D250" s="8"/>
      <c r="E250" s="8"/>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8"/>
      <c r="B251" s="9"/>
      <c r="C251" s="10"/>
      <c r="D251" s="8"/>
      <c r="E251" s="8"/>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8"/>
      <c r="B252" s="9"/>
      <c r="C252" s="10"/>
      <c r="D252" s="8"/>
      <c r="E252" s="8"/>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8"/>
      <c r="B253" s="9"/>
      <c r="C253" s="10"/>
      <c r="D253" s="8"/>
      <c r="E253" s="8"/>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8"/>
      <c r="B254" s="9"/>
      <c r="C254" s="10"/>
      <c r="D254" s="8"/>
      <c r="E254" s="8"/>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8"/>
      <c r="B255" s="9"/>
      <c r="C255" s="10"/>
      <c r="D255" s="8"/>
      <c r="E255" s="8"/>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8"/>
      <c r="B256" s="9"/>
      <c r="C256" s="10"/>
      <c r="D256" s="8"/>
      <c r="E256" s="8"/>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8"/>
      <c r="B257" s="9"/>
      <c r="C257" s="10"/>
      <c r="D257" s="8"/>
      <c r="E257" s="8"/>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8"/>
      <c r="B258" s="9"/>
      <c r="C258" s="10"/>
      <c r="D258" s="8"/>
      <c r="E258" s="8"/>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8"/>
      <c r="B259" s="9"/>
      <c r="C259" s="10"/>
      <c r="D259" s="8"/>
      <c r="E259" s="8"/>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8"/>
      <c r="B260" s="9"/>
      <c r="C260" s="10"/>
      <c r="D260" s="8"/>
      <c r="E260" s="8"/>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8"/>
      <c r="B261" s="9"/>
      <c r="C261" s="10"/>
      <c r="D261" s="8"/>
      <c r="E261" s="8"/>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8"/>
      <c r="B262" s="9"/>
      <c r="C262" s="10"/>
      <c r="D262" s="8"/>
      <c r="E262" s="8"/>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8"/>
      <c r="B263" s="9"/>
      <c r="C263" s="10"/>
      <c r="D263" s="8"/>
      <c r="E263" s="8"/>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8"/>
      <c r="B264" s="9"/>
      <c r="C264" s="10"/>
      <c r="D264" s="8"/>
      <c r="E264" s="8"/>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8"/>
      <c r="B265" s="9"/>
      <c r="C265" s="10"/>
      <c r="D265" s="8"/>
      <c r="E265" s="8"/>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8"/>
      <c r="B266" s="9"/>
      <c r="C266" s="10"/>
      <c r="D266" s="8"/>
      <c r="E266" s="8"/>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8"/>
      <c r="B267" s="9"/>
      <c r="C267" s="10"/>
      <c r="D267" s="8"/>
      <c r="E267" s="8"/>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8"/>
      <c r="B268" s="9"/>
      <c r="C268" s="10"/>
      <c r="D268" s="8"/>
      <c r="E268" s="8"/>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8"/>
      <c r="B269" s="9"/>
      <c r="C269" s="10"/>
      <c r="D269" s="8"/>
      <c r="E269" s="8"/>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8"/>
      <c r="B270" s="9"/>
      <c r="C270" s="10"/>
      <c r="D270" s="8"/>
      <c r="E270" s="8"/>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8"/>
      <c r="B271" s="9"/>
      <c r="C271" s="10"/>
      <c r="D271" s="8"/>
      <c r="E271" s="8"/>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8"/>
      <c r="B272" s="9"/>
      <c r="C272" s="10"/>
      <c r="D272" s="8"/>
      <c r="E272" s="8"/>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8"/>
      <c r="B273" s="9"/>
      <c r="C273" s="10"/>
      <c r="D273" s="8"/>
      <c r="E273" s="8"/>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8"/>
      <c r="B274" s="9"/>
      <c r="C274" s="10"/>
      <c r="D274" s="8"/>
      <c r="E274" s="8"/>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8"/>
      <c r="B275" s="9"/>
      <c r="C275" s="10"/>
      <c r="D275" s="8"/>
      <c r="E275" s="8"/>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8"/>
      <c r="B276" s="9"/>
      <c r="C276" s="10"/>
      <c r="D276" s="8"/>
      <c r="E276" s="8"/>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8"/>
      <c r="B277" s="9"/>
      <c r="C277" s="10"/>
      <c r="D277" s="8"/>
      <c r="E277" s="8"/>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8"/>
      <c r="B278" s="9"/>
      <c r="C278" s="10"/>
      <c r="D278" s="8"/>
      <c r="E278" s="8"/>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8"/>
      <c r="B279" s="9"/>
      <c r="C279" s="10"/>
      <c r="D279" s="8"/>
      <c r="E279" s="8"/>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8"/>
      <c r="B280" s="9"/>
      <c r="C280" s="10"/>
      <c r="D280" s="8"/>
      <c r="E280" s="8"/>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8"/>
      <c r="B281" s="9"/>
      <c r="C281" s="10"/>
      <c r="D281" s="8"/>
      <c r="E281" s="8"/>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8"/>
      <c r="B282" s="9"/>
      <c r="C282" s="10"/>
      <c r="D282" s="8"/>
      <c r="E282" s="8"/>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8"/>
      <c r="B283" s="9"/>
      <c r="C283" s="10"/>
      <c r="D283" s="8"/>
      <c r="E283" s="8"/>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8"/>
      <c r="B284" s="9"/>
      <c r="C284" s="10"/>
      <c r="D284" s="8"/>
      <c r="E284" s="8"/>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8"/>
      <c r="B285" s="9"/>
      <c r="C285" s="10"/>
      <c r="D285" s="8"/>
      <c r="E285" s="8"/>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8"/>
      <c r="B286" s="9"/>
      <c r="C286" s="10"/>
      <c r="D286" s="8"/>
      <c r="E286" s="8"/>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8"/>
      <c r="B287" s="9"/>
      <c r="C287" s="10"/>
      <c r="D287" s="8"/>
      <c r="E287" s="8"/>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8"/>
      <c r="B288" s="9"/>
      <c r="C288" s="10"/>
      <c r="D288" s="8"/>
      <c r="E288" s="8"/>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8"/>
      <c r="B289" s="9"/>
      <c r="C289" s="10"/>
      <c r="D289" s="8"/>
      <c r="E289" s="8"/>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8"/>
      <c r="B290" s="9"/>
      <c r="C290" s="10"/>
      <c r="D290" s="8"/>
      <c r="E290" s="8"/>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8"/>
      <c r="B291" s="9"/>
      <c r="C291" s="10"/>
      <c r="D291" s="8"/>
      <c r="E291" s="8"/>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8"/>
      <c r="B292" s="9"/>
      <c r="C292" s="10"/>
      <c r="D292" s="8"/>
      <c r="E292" s="8"/>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8"/>
      <c r="B293" s="9"/>
      <c r="C293" s="10"/>
      <c r="D293" s="8"/>
      <c r="E293" s="8"/>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8"/>
      <c r="B294" s="9"/>
      <c r="C294" s="10"/>
      <c r="D294" s="8"/>
      <c r="E294" s="8"/>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8"/>
      <c r="B295" s="9"/>
      <c r="C295" s="10"/>
      <c r="D295" s="8"/>
      <c r="E295" s="8"/>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8"/>
      <c r="B296" s="9"/>
      <c r="C296" s="10"/>
      <c r="D296" s="8"/>
      <c r="E296" s="8"/>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8"/>
      <c r="B297" s="9"/>
      <c r="C297" s="10"/>
      <c r="D297" s="8"/>
      <c r="E297" s="8"/>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8"/>
      <c r="B298" s="9"/>
      <c r="C298" s="10"/>
      <c r="D298" s="8"/>
      <c r="E298" s="8"/>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8"/>
      <c r="B299" s="9"/>
      <c r="C299" s="10"/>
      <c r="D299" s="8"/>
      <c r="E299" s="8"/>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8"/>
      <c r="B300" s="9"/>
      <c r="C300" s="10"/>
      <c r="D300" s="8"/>
      <c r="E300" s="8"/>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8"/>
      <c r="B301" s="9"/>
      <c r="C301" s="10"/>
      <c r="D301" s="8"/>
      <c r="E301" s="8"/>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8"/>
      <c r="B302" s="9"/>
      <c r="C302" s="10"/>
      <c r="D302" s="8"/>
      <c r="E302" s="8"/>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8"/>
      <c r="B303" s="9"/>
      <c r="C303" s="10"/>
      <c r="D303" s="8"/>
      <c r="E303" s="8"/>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8"/>
      <c r="B304" s="9"/>
      <c r="C304" s="10"/>
      <c r="D304" s="8"/>
      <c r="E304" s="8"/>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8"/>
      <c r="B305" s="9"/>
      <c r="C305" s="10"/>
      <c r="D305" s="8"/>
      <c r="E305" s="8"/>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8"/>
      <c r="B306" s="9"/>
      <c r="C306" s="10"/>
      <c r="D306" s="8"/>
      <c r="E306" s="8"/>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8"/>
      <c r="B307" s="9"/>
      <c r="C307" s="10"/>
      <c r="D307" s="8"/>
      <c r="E307" s="8"/>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8"/>
      <c r="B308" s="9"/>
      <c r="C308" s="10"/>
      <c r="D308" s="8"/>
      <c r="E308" s="8"/>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8"/>
      <c r="B309" s="9"/>
      <c r="C309" s="10"/>
      <c r="D309" s="8"/>
      <c r="E309" s="8"/>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8"/>
      <c r="B310" s="9"/>
      <c r="C310" s="10"/>
      <c r="D310" s="8"/>
      <c r="E310" s="8"/>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8"/>
      <c r="B311" s="9"/>
      <c r="C311" s="10"/>
      <c r="D311" s="8"/>
      <c r="E311" s="8"/>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8"/>
      <c r="B312" s="9"/>
      <c r="C312" s="10"/>
      <c r="D312" s="8"/>
      <c r="E312" s="8"/>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8"/>
      <c r="B313" s="9"/>
      <c r="C313" s="10"/>
      <c r="D313" s="8"/>
      <c r="E313" s="8"/>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8"/>
      <c r="B314" s="9"/>
      <c r="C314" s="10"/>
      <c r="D314" s="8"/>
      <c r="E314" s="8"/>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8"/>
      <c r="B315" s="9"/>
      <c r="C315" s="10"/>
      <c r="D315" s="8"/>
      <c r="E315" s="8"/>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8"/>
      <c r="B316" s="9"/>
      <c r="C316" s="10"/>
      <c r="D316" s="8"/>
      <c r="E316" s="8"/>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8"/>
      <c r="B317" s="9"/>
      <c r="C317" s="10"/>
      <c r="D317" s="8"/>
      <c r="E317" s="8"/>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8"/>
      <c r="B318" s="9"/>
      <c r="C318" s="10"/>
      <c r="D318" s="8"/>
      <c r="E318" s="8"/>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8"/>
      <c r="B319" s="9"/>
      <c r="C319" s="10"/>
      <c r="D319" s="8"/>
      <c r="E319" s="8"/>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8"/>
      <c r="B320" s="9"/>
      <c r="C320" s="10"/>
      <c r="D320" s="8"/>
      <c r="E320" s="8"/>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8"/>
      <c r="B321" s="9"/>
      <c r="C321" s="10"/>
      <c r="D321" s="8"/>
      <c r="E321" s="8"/>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8"/>
      <c r="B322" s="9"/>
      <c r="C322" s="10"/>
      <c r="D322" s="8"/>
      <c r="E322" s="8"/>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8"/>
      <c r="B323" s="9"/>
      <c r="C323" s="10"/>
      <c r="D323" s="8"/>
      <c r="E323" s="8"/>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8"/>
      <c r="B324" s="9"/>
      <c r="C324" s="10"/>
      <c r="D324" s="8"/>
      <c r="E324" s="8"/>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8"/>
      <c r="B325" s="9"/>
      <c r="C325" s="10"/>
      <c r="D325" s="8"/>
      <c r="E325" s="8"/>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8"/>
      <c r="B326" s="9"/>
      <c r="C326" s="10"/>
      <c r="D326" s="8"/>
      <c r="E326" s="8"/>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8"/>
      <c r="B327" s="9"/>
      <c r="C327" s="10"/>
      <c r="D327" s="8"/>
      <c r="E327" s="8"/>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8"/>
      <c r="B328" s="9"/>
      <c r="C328" s="10"/>
      <c r="D328" s="8"/>
      <c r="E328" s="8"/>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8"/>
      <c r="B329" s="9"/>
      <c r="C329" s="10"/>
      <c r="D329" s="8"/>
      <c r="E329" s="8"/>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8"/>
      <c r="B330" s="9"/>
      <c r="C330" s="10"/>
      <c r="D330" s="8"/>
      <c r="E330" s="8"/>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8"/>
      <c r="B331" s="9"/>
      <c r="C331" s="10"/>
      <c r="D331" s="8"/>
      <c r="E331" s="8"/>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8"/>
      <c r="B332" s="9"/>
      <c r="C332" s="10"/>
      <c r="D332" s="8"/>
      <c r="E332" s="8"/>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8"/>
      <c r="B333" s="9"/>
      <c r="C333" s="10"/>
      <c r="D333" s="8"/>
      <c r="E333" s="8"/>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8"/>
      <c r="B334" s="9"/>
      <c r="C334" s="10"/>
      <c r="D334" s="8"/>
      <c r="E334" s="8"/>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8"/>
      <c r="B335" s="9"/>
      <c r="C335" s="10"/>
      <c r="D335" s="8"/>
      <c r="E335" s="8"/>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8"/>
      <c r="B336" s="9"/>
      <c r="C336" s="10"/>
      <c r="D336" s="8"/>
      <c r="E336" s="8"/>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8"/>
      <c r="B337" s="9"/>
      <c r="C337" s="10"/>
      <c r="D337" s="8"/>
      <c r="E337" s="8"/>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8"/>
      <c r="B338" s="9"/>
      <c r="C338" s="10"/>
      <c r="D338" s="8"/>
      <c r="E338" s="8"/>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8"/>
      <c r="B339" s="9"/>
      <c r="C339" s="10"/>
      <c r="D339" s="8"/>
      <c r="E339" s="8"/>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8"/>
      <c r="B340" s="9"/>
      <c r="C340" s="10"/>
      <c r="D340" s="8"/>
      <c r="E340" s="8"/>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8"/>
      <c r="B341" s="9"/>
      <c r="C341" s="10"/>
      <c r="D341" s="8"/>
      <c r="E341" s="8"/>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8"/>
      <c r="B342" s="9"/>
      <c r="C342" s="10"/>
      <c r="D342" s="8"/>
      <c r="E342" s="8"/>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8"/>
      <c r="B343" s="9"/>
      <c r="C343" s="10"/>
      <c r="D343" s="8"/>
      <c r="E343" s="8"/>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8"/>
      <c r="B344" s="9"/>
      <c r="C344" s="10"/>
      <c r="D344" s="8"/>
      <c r="E344" s="8"/>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8"/>
      <c r="B345" s="9"/>
      <c r="C345" s="10"/>
      <c r="D345" s="8"/>
      <c r="E345" s="8"/>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8"/>
      <c r="B346" s="9"/>
      <c r="C346" s="10"/>
      <c r="D346" s="8"/>
      <c r="E346" s="8"/>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8"/>
      <c r="B347" s="9"/>
      <c r="C347" s="10"/>
      <c r="D347" s="8"/>
      <c r="E347" s="8"/>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8"/>
      <c r="B348" s="9"/>
      <c r="C348" s="10"/>
      <c r="D348" s="8"/>
      <c r="E348" s="8"/>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8"/>
      <c r="B349" s="9"/>
      <c r="C349" s="10"/>
      <c r="D349" s="8"/>
      <c r="E349" s="8"/>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8"/>
      <c r="B350" s="9"/>
      <c r="C350" s="10"/>
      <c r="D350" s="8"/>
      <c r="E350" s="8"/>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8"/>
      <c r="B351" s="9"/>
      <c r="C351" s="10"/>
      <c r="D351" s="8"/>
      <c r="E351" s="8"/>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8"/>
      <c r="B352" s="9"/>
      <c r="C352" s="10"/>
      <c r="D352" s="8"/>
      <c r="E352" s="8"/>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8"/>
      <c r="B353" s="9"/>
      <c r="C353" s="10"/>
      <c r="D353" s="8"/>
      <c r="E353" s="8"/>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8"/>
      <c r="B354" s="9"/>
      <c r="C354" s="10"/>
      <c r="D354" s="8"/>
      <c r="E354" s="8"/>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8"/>
      <c r="B355" s="9"/>
      <c r="C355" s="10"/>
      <c r="D355" s="8"/>
      <c r="E355" s="8"/>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8"/>
      <c r="B356" s="9"/>
      <c r="C356" s="10"/>
      <c r="D356" s="8"/>
      <c r="E356" s="8"/>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8"/>
      <c r="B357" s="9"/>
      <c r="C357" s="10"/>
      <c r="D357" s="8"/>
      <c r="E357" s="8"/>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8"/>
      <c r="B358" s="9"/>
      <c r="C358" s="10"/>
      <c r="D358" s="8"/>
      <c r="E358" s="8"/>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8"/>
      <c r="B359" s="9"/>
      <c r="C359" s="10"/>
      <c r="D359" s="8"/>
      <c r="E359" s="8"/>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8"/>
      <c r="B360" s="9"/>
      <c r="C360" s="10"/>
      <c r="D360" s="8"/>
      <c r="E360" s="8"/>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8"/>
      <c r="B361" s="9"/>
      <c r="C361" s="10"/>
      <c r="D361" s="8"/>
      <c r="E361" s="8"/>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8"/>
      <c r="B362" s="9"/>
      <c r="C362" s="10"/>
      <c r="D362" s="8"/>
      <c r="E362" s="8"/>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8"/>
      <c r="B363" s="9"/>
      <c r="C363" s="10"/>
      <c r="D363" s="8"/>
      <c r="E363" s="8"/>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8"/>
      <c r="B364" s="9"/>
      <c r="C364" s="10"/>
      <c r="D364" s="8"/>
      <c r="E364" s="8"/>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8"/>
      <c r="B365" s="9"/>
      <c r="C365" s="10"/>
      <c r="D365" s="8"/>
      <c r="E365" s="8"/>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8"/>
      <c r="B366" s="9"/>
      <c r="C366" s="10"/>
      <c r="D366" s="8"/>
      <c r="E366" s="8"/>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8"/>
      <c r="B367" s="9"/>
      <c r="C367" s="10"/>
      <c r="D367" s="8"/>
      <c r="E367" s="8"/>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8"/>
      <c r="B368" s="9"/>
      <c r="C368" s="10"/>
      <c r="D368" s="8"/>
      <c r="E368" s="8"/>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8"/>
      <c r="B369" s="9"/>
      <c r="C369" s="10"/>
      <c r="D369" s="8"/>
      <c r="E369" s="8"/>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8"/>
      <c r="B370" s="9"/>
      <c r="C370" s="10"/>
      <c r="D370" s="8"/>
      <c r="E370" s="8"/>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8"/>
      <c r="B371" s="9"/>
      <c r="C371" s="10"/>
      <c r="D371" s="8"/>
      <c r="E371" s="8"/>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8"/>
      <c r="B372" s="9"/>
      <c r="C372" s="10"/>
      <c r="D372" s="8"/>
      <c r="E372" s="8"/>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8"/>
      <c r="B373" s="9"/>
      <c r="C373" s="10"/>
      <c r="D373" s="8"/>
      <c r="E373" s="8"/>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8"/>
      <c r="B374" s="9"/>
      <c r="C374" s="10"/>
      <c r="D374" s="8"/>
      <c r="E374" s="8"/>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8"/>
      <c r="B375" s="9"/>
      <c r="C375" s="10"/>
      <c r="D375" s="8"/>
      <c r="E375" s="8"/>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8"/>
      <c r="B376" s="9"/>
      <c r="C376" s="10"/>
      <c r="D376" s="8"/>
      <c r="E376" s="8"/>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8"/>
      <c r="B377" s="9"/>
      <c r="C377" s="10"/>
      <c r="D377" s="8"/>
      <c r="E377" s="8"/>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8"/>
      <c r="B378" s="9"/>
      <c r="C378" s="10"/>
      <c r="D378" s="8"/>
      <c r="E378" s="8"/>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8"/>
      <c r="B379" s="9"/>
      <c r="C379" s="10"/>
      <c r="D379" s="8"/>
      <c r="E379" s="8"/>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8"/>
      <c r="B380" s="9"/>
      <c r="C380" s="10"/>
      <c r="D380" s="8"/>
      <c r="E380" s="8"/>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8"/>
      <c r="B381" s="9"/>
      <c r="C381" s="10"/>
      <c r="D381" s="8"/>
      <c r="E381" s="8"/>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8"/>
      <c r="B382" s="9"/>
      <c r="C382" s="10"/>
      <c r="D382" s="8"/>
      <c r="E382" s="8"/>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8"/>
      <c r="B383" s="9"/>
      <c r="C383" s="10"/>
      <c r="D383" s="8"/>
      <c r="E383" s="8"/>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8"/>
      <c r="B384" s="9"/>
      <c r="C384" s="10"/>
      <c r="D384" s="8"/>
      <c r="E384" s="8"/>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8"/>
      <c r="B385" s="9"/>
      <c r="C385" s="10"/>
      <c r="D385" s="8"/>
      <c r="E385" s="8"/>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8"/>
      <c r="B386" s="9"/>
      <c r="C386" s="10"/>
      <c r="D386" s="8"/>
      <c r="E386" s="8"/>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8"/>
      <c r="B387" s="9"/>
      <c r="C387" s="10"/>
      <c r="D387" s="8"/>
      <c r="E387" s="8"/>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8"/>
      <c r="B388" s="9"/>
      <c r="C388" s="10"/>
      <c r="D388" s="8"/>
      <c r="E388" s="8"/>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8"/>
      <c r="B389" s="9"/>
      <c r="C389" s="10"/>
      <c r="D389" s="8"/>
      <c r="E389" s="8"/>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8"/>
      <c r="B390" s="9"/>
      <c r="C390" s="10"/>
      <c r="D390" s="8"/>
      <c r="E390" s="8"/>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8"/>
      <c r="B391" s="9"/>
      <c r="C391" s="10"/>
      <c r="D391" s="8"/>
      <c r="E391" s="8"/>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8"/>
      <c r="B392" s="9"/>
      <c r="C392" s="10"/>
      <c r="D392" s="8"/>
      <c r="E392" s="8"/>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8"/>
      <c r="B393" s="9"/>
      <c r="C393" s="10"/>
      <c r="D393" s="8"/>
      <c r="E393" s="8"/>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8"/>
      <c r="B394" s="9"/>
      <c r="C394" s="10"/>
      <c r="D394" s="8"/>
      <c r="E394" s="8"/>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8"/>
      <c r="B395" s="9"/>
      <c r="C395" s="10"/>
      <c r="D395" s="8"/>
      <c r="E395" s="8"/>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8"/>
      <c r="B396" s="9"/>
      <c r="C396" s="10"/>
      <c r="D396" s="8"/>
      <c r="E396" s="8"/>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8"/>
      <c r="B397" s="9"/>
      <c r="C397" s="10"/>
      <c r="D397" s="8"/>
      <c r="E397" s="8"/>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8"/>
      <c r="B398" s="9"/>
      <c r="C398" s="10"/>
      <c r="D398" s="8"/>
      <c r="E398" s="8"/>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8"/>
      <c r="B399" s="9"/>
      <c r="C399" s="10"/>
      <c r="D399" s="8"/>
      <c r="E399" s="8"/>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8"/>
      <c r="B400" s="9"/>
      <c r="C400" s="10"/>
      <c r="D400" s="8"/>
      <c r="E400" s="8"/>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8"/>
      <c r="B401" s="9"/>
      <c r="C401" s="10"/>
      <c r="D401" s="8"/>
      <c r="E401" s="8"/>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8"/>
      <c r="B402" s="9"/>
      <c r="C402" s="10"/>
      <c r="D402" s="8"/>
      <c r="E402" s="8"/>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8"/>
      <c r="B403" s="9"/>
      <c r="C403" s="10"/>
      <c r="D403" s="8"/>
      <c r="E403" s="8"/>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8"/>
      <c r="B404" s="9"/>
      <c r="C404" s="10"/>
      <c r="D404" s="8"/>
      <c r="E404" s="8"/>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8"/>
      <c r="B405" s="9"/>
      <c r="C405" s="10"/>
      <c r="D405" s="8"/>
      <c r="E405" s="8"/>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8"/>
      <c r="B406" s="9"/>
      <c r="C406" s="10"/>
      <c r="D406" s="8"/>
      <c r="E406" s="8"/>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8"/>
      <c r="B407" s="9"/>
      <c r="C407" s="10"/>
      <c r="D407" s="8"/>
      <c r="E407" s="8"/>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8"/>
      <c r="B408" s="9"/>
      <c r="C408" s="10"/>
      <c r="D408" s="8"/>
      <c r="E408" s="8"/>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8"/>
      <c r="B409" s="9"/>
      <c r="C409" s="10"/>
      <c r="D409" s="8"/>
      <c r="E409" s="8"/>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8"/>
      <c r="B410" s="9"/>
      <c r="C410" s="10"/>
      <c r="D410" s="8"/>
      <c r="E410" s="8"/>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8"/>
      <c r="B411" s="9"/>
      <c r="C411" s="10"/>
      <c r="D411" s="8"/>
      <c r="E411" s="8"/>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8"/>
      <c r="B412" s="9"/>
      <c r="C412" s="10"/>
      <c r="D412" s="8"/>
      <c r="E412" s="8"/>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8"/>
      <c r="B413" s="9"/>
      <c r="C413" s="10"/>
      <c r="D413" s="8"/>
      <c r="E413" s="8"/>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8"/>
      <c r="B414" s="9"/>
      <c r="C414" s="10"/>
      <c r="D414" s="8"/>
      <c r="E414" s="8"/>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8"/>
      <c r="B415" s="9"/>
      <c r="C415" s="10"/>
      <c r="D415" s="8"/>
      <c r="E415" s="8"/>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8"/>
      <c r="B416" s="9"/>
      <c r="C416" s="10"/>
      <c r="D416" s="8"/>
      <c r="E416" s="8"/>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8"/>
      <c r="B417" s="9"/>
      <c r="C417" s="10"/>
      <c r="D417" s="8"/>
      <c r="E417" s="8"/>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8"/>
      <c r="B418" s="9"/>
      <c r="C418" s="10"/>
      <c r="D418" s="8"/>
      <c r="E418" s="8"/>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8"/>
      <c r="B419" s="9"/>
      <c r="C419" s="10"/>
      <c r="D419" s="8"/>
      <c r="E419" s="8"/>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8"/>
      <c r="B420" s="9"/>
      <c r="C420" s="10"/>
      <c r="D420" s="8"/>
      <c r="E420" s="8"/>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8"/>
      <c r="B421" s="9"/>
      <c r="C421" s="10"/>
      <c r="D421" s="8"/>
      <c r="E421" s="8"/>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8"/>
      <c r="B422" s="9"/>
      <c r="C422" s="10"/>
      <c r="D422" s="8"/>
      <c r="E422" s="8"/>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8"/>
      <c r="B423" s="9"/>
      <c r="C423" s="10"/>
      <c r="D423" s="8"/>
      <c r="E423" s="8"/>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8"/>
      <c r="B424" s="9"/>
      <c r="C424" s="10"/>
      <c r="D424" s="8"/>
      <c r="E424" s="8"/>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8"/>
      <c r="B425" s="9"/>
      <c r="C425" s="10"/>
      <c r="D425" s="8"/>
      <c r="E425" s="8"/>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8"/>
      <c r="B426" s="9"/>
      <c r="C426" s="10"/>
      <c r="D426" s="8"/>
      <c r="E426" s="8"/>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8"/>
      <c r="B427" s="9"/>
      <c r="C427" s="10"/>
      <c r="D427" s="8"/>
      <c r="E427" s="8"/>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8"/>
      <c r="B428" s="9"/>
      <c r="C428" s="10"/>
      <c r="D428" s="8"/>
      <c r="E428" s="8"/>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8"/>
      <c r="B429" s="9"/>
      <c r="C429" s="10"/>
      <c r="D429" s="8"/>
      <c r="E429" s="8"/>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8"/>
      <c r="B430" s="9"/>
      <c r="C430" s="10"/>
      <c r="D430" s="8"/>
      <c r="E430" s="8"/>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8"/>
      <c r="B431" s="9"/>
      <c r="C431" s="10"/>
      <c r="D431" s="8"/>
      <c r="E431" s="8"/>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8"/>
      <c r="B432" s="9"/>
      <c r="C432" s="10"/>
      <c r="D432" s="8"/>
      <c r="E432" s="8"/>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8"/>
      <c r="B433" s="9"/>
      <c r="C433" s="10"/>
      <c r="D433" s="8"/>
      <c r="E433" s="8"/>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8"/>
      <c r="B434" s="9"/>
      <c r="C434" s="10"/>
      <c r="D434" s="8"/>
      <c r="E434" s="8"/>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8"/>
      <c r="B435" s="9"/>
      <c r="C435" s="10"/>
      <c r="D435" s="8"/>
      <c r="E435" s="8"/>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8"/>
      <c r="B436" s="9"/>
      <c r="C436" s="10"/>
      <c r="D436" s="8"/>
      <c r="E436" s="8"/>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8"/>
      <c r="B437" s="9"/>
      <c r="C437" s="10"/>
      <c r="D437" s="8"/>
      <c r="E437" s="8"/>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8"/>
      <c r="B438" s="9"/>
      <c r="C438" s="10"/>
      <c r="D438" s="8"/>
      <c r="E438" s="8"/>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8"/>
      <c r="B439" s="9"/>
      <c r="C439" s="10"/>
      <c r="D439" s="8"/>
      <c r="E439" s="8"/>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8"/>
      <c r="B440" s="9"/>
      <c r="C440" s="10"/>
      <c r="D440" s="8"/>
      <c r="E440" s="8"/>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8"/>
      <c r="B441" s="9"/>
      <c r="C441" s="10"/>
      <c r="D441" s="8"/>
      <c r="E441" s="8"/>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8"/>
      <c r="B442" s="9"/>
      <c r="C442" s="10"/>
      <c r="D442" s="8"/>
      <c r="E442" s="8"/>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8"/>
      <c r="B443" s="9"/>
      <c r="C443" s="10"/>
      <c r="D443" s="8"/>
      <c r="E443" s="8"/>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8"/>
      <c r="B444" s="9"/>
      <c r="C444" s="10"/>
      <c r="D444" s="8"/>
      <c r="E444" s="8"/>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8"/>
      <c r="B445" s="9"/>
      <c r="C445" s="10"/>
      <c r="D445" s="8"/>
      <c r="E445" s="8"/>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8"/>
      <c r="B446" s="9"/>
      <c r="C446" s="10"/>
      <c r="D446" s="8"/>
      <c r="E446" s="8"/>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8"/>
      <c r="B447" s="9"/>
      <c r="C447" s="10"/>
      <c r="D447" s="8"/>
      <c r="E447" s="8"/>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8"/>
      <c r="B448" s="9"/>
      <c r="C448" s="10"/>
      <c r="D448" s="8"/>
      <c r="E448" s="8"/>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8"/>
      <c r="B449" s="9"/>
      <c r="C449" s="10"/>
      <c r="D449" s="8"/>
      <c r="E449" s="8"/>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8"/>
      <c r="B450" s="9"/>
      <c r="C450" s="10"/>
      <c r="D450" s="8"/>
      <c r="E450" s="8"/>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8"/>
      <c r="B451" s="9"/>
      <c r="C451" s="10"/>
      <c r="D451" s="8"/>
      <c r="E451" s="8"/>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8"/>
      <c r="B452" s="9"/>
      <c r="C452" s="10"/>
      <c r="D452" s="8"/>
      <c r="E452" s="8"/>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8"/>
      <c r="B453" s="9"/>
      <c r="C453" s="10"/>
      <c r="D453" s="8"/>
      <c r="E453" s="8"/>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8"/>
      <c r="B454" s="9"/>
      <c r="C454" s="10"/>
      <c r="D454" s="8"/>
      <c r="E454" s="8"/>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8"/>
      <c r="B455" s="9"/>
      <c r="C455" s="10"/>
      <c r="D455" s="8"/>
      <c r="E455" s="8"/>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8"/>
      <c r="B456" s="9"/>
      <c r="C456" s="10"/>
      <c r="D456" s="8"/>
      <c r="E456" s="8"/>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8"/>
      <c r="B457" s="9"/>
      <c r="C457" s="10"/>
      <c r="D457" s="8"/>
      <c r="E457" s="8"/>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8"/>
      <c r="B458" s="9"/>
      <c r="C458" s="10"/>
      <c r="D458" s="8"/>
      <c r="E458" s="8"/>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8"/>
      <c r="B459" s="9"/>
      <c r="C459" s="10"/>
      <c r="D459" s="8"/>
      <c r="E459" s="8"/>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8"/>
      <c r="B460" s="9"/>
      <c r="C460" s="10"/>
      <c r="D460" s="8"/>
      <c r="E460" s="8"/>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8"/>
      <c r="B461" s="9"/>
      <c r="C461" s="10"/>
      <c r="D461" s="8"/>
      <c r="E461" s="8"/>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8"/>
      <c r="B462" s="9"/>
      <c r="C462" s="10"/>
      <c r="D462" s="8"/>
      <c r="E462" s="8"/>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8"/>
      <c r="B463" s="9"/>
      <c r="C463" s="10"/>
      <c r="D463" s="8"/>
      <c r="E463" s="8"/>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8"/>
      <c r="B464" s="9"/>
      <c r="C464" s="10"/>
      <c r="D464" s="8"/>
      <c r="E464" s="8"/>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8"/>
      <c r="B465" s="9"/>
      <c r="C465" s="10"/>
      <c r="D465" s="8"/>
      <c r="E465" s="8"/>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8"/>
      <c r="B466" s="9"/>
      <c r="C466" s="10"/>
      <c r="D466" s="8"/>
      <c r="E466" s="8"/>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8"/>
      <c r="B467" s="9"/>
      <c r="C467" s="10"/>
      <c r="D467" s="8"/>
      <c r="E467" s="8"/>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8"/>
      <c r="B468" s="9"/>
      <c r="C468" s="10"/>
      <c r="D468" s="8"/>
      <c r="E468" s="8"/>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8"/>
      <c r="B469" s="9"/>
      <c r="C469" s="10"/>
      <c r="D469" s="8"/>
      <c r="E469" s="8"/>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8"/>
      <c r="B470" s="9"/>
      <c r="C470" s="10"/>
      <c r="D470" s="8"/>
      <c r="E470" s="8"/>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8"/>
      <c r="B471" s="9"/>
      <c r="C471" s="10"/>
      <c r="D471" s="8"/>
      <c r="E471" s="8"/>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8"/>
      <c r="B472" s="9"/>
      <c r="C472" s="10"/>
      <c r="D472" s="8"/>
      <c r="E472" s="8"/>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8"/>
      <c r="B473" s="9"/>
      <c r="C473" s="10"/>
      <c r="D473" s="8"/>
      <c r="E473" s="8"/>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8"/>
      <c r="B474" s="9"/>
      <c r="C474" s="10"/>
      <c r="D474" s="8"/>
      <c r="E474" s="8"/>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8"/>
      <c r="B475" s="9"/>
      <c r="C475" s="10"/>
      <c r="D475" s="8"/>
      <c r="E475" s="8"/>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8"/>
      <c r="B476" s="9"/>
      <c r="C476" s="10"/>
      <c r="D476" s="8"/>
      <c r="E476" s="8"/>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8"/>
      <c r="B477" s="9"/>
      <c r="C477" s="10"/>
      <c r="D477" s="8"/>
      <c r="E477" s="8"/>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8"/>
      <c r="B478" s="9"/>
      <c r="C478" s="10"/>
      <c r="D478" s="8"/>
      <c r="E478" s="8"/>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8"/>
      <c r="B479" s="9"/>
      <c r="C479" s="10"/>
      <c r="D479" s="8"/>
      <c r="E479" s="8"/>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8"/>
      <c r="B480" s="9"/>
      <c r="C480" s="10"/>
      <c r="D480" s="8"/>
      <c r="E480" s="8"/>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8"/>
      <c r="B481" s="9"/>
      <c r="C481" s="10"/>
      <c r="D481" s="8"/>
      <c r="E481" s="8"/>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8"/>
      <c r="B482" s="9"/>
      <c r="C482" s="10"/>
      <c r="D482" s="8"/>
      <c r="E482" s="8"/>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8"/>
      <c r="B483" s="9"/>
      <c r="C483" s="10"/>
      <c r="D483" s="8"/>
      <c r="E483" s="8"/>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8"/>
      <c r="B484" s="9"/>
      <c r="C484" s="10"/>
      <c r="D484" s="8"/>
      <c r="E484" s="8"/>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8"/>
      <c r="B485" s="9"/>
      <c r="C485" s="10"/>
      <c r="D485" s="8"/>
      <c r="E485" s="8"/>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8"/>
      <c r="B486" s="9"/>
      <c r="C486" s="10"/>
      <c r="D486" s="8"/>
      <c r="E486" s="8"/>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8"/>
      <c r="B487" s="9"/>
      <c r="C487" s="10"/>
      <c r="D487" s="8"/>
      <c r="E487" s="8"/>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8"/>
      <c r="B488" s="9"/>
      <c r="C488" s="10"/>
      <c r="D488" s="8"/>
      <c r="E488" s="8"/>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8"/>
      <c r="B489" s="9"/>
      <c r="C489" s="10"/>
      <c r="D489" s="8"/>
      <c r="E489" s="8"/>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8"/>
      <c r="B490" s="9"/>
      <c r="C490" s="10"/>
      <c r="D490" s="8"/>
      <c r="E490" s="8"/>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8"/>
      <c r="B491" s="9"/>
      <c r="C491" s="10"/>
      <c r="D491" s="8"/>
      <c r="E491" s="8"/>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8"/>
      <c r="B492" s="9"/>
      <c r="C492" s="10"/>
      <c r="D492" s="8"/>
      <c r="E492" s="8"/>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8"/>
      <c r="B493" s="9"/>
      <c r="C493" s="10"/>
      <c r="D493" s="8"/>
      <c r="E493" s="8"/>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8"/>
      <c r="B494" s="9"/>
      <c r="C494" s="10"/>
      <c r="D494" s="8"/>
      <c r="E494" s="8"/>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8"/>
      <c r="B495" s="9"/>
      <c r="C495" s="10"/>
      <c r="D495" s="8"/>
      <c r="E495" s="8"/>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8"/>
      <c r="B496" s="9"/>
      <c r="C496" s="10"/>
      <c r="D496" s="8"/>
      <c r="E496" s="8"/>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8"/>
      <c r="B497" s="9"/>
      <c r="C497" s="10"/>
      <c r="D497" s="8"/>
      <c r="E497" s="8"/>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8"/>
      <c r="B498" s="9"/>
      <c r="C498" s="10"/>
      <c r="D498" s="8"/>
      <c r="E498" s="8"/>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8"/>
      <c r="B499" s="9"/>
      <c r="C499" s="10"/>
      <c r="D499" s="8"/>
      <c r="E499" s="8"/>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8"/>
      <c r="B500" s="9"/>
      <c r="C500" s="10"/>
      <c r="D500" s="8"/>
      <c r="E500" s="8"/>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8"/>
      <c r="B501" s="9"/>
      <c r="C501" s="10"/>
      <c r="D501" s="8"/>
      <c r="E501" s="8"/>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8"/>
      <c r="B502" s="9"/>
      <c r="C502" s="10"/>
      <c r="D502" s="8"/>
      <c r="E502" s="8"/>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8"/>
      <c r="B503" s="9"/>
      <c r="C503" s="10"/>
      <c r="D503" s="8"/>
      <c r="E503" s="8"/>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8"/>
      <c r="B504" s="9"/>
      <c r="C504" s="10"/>
      <c r="D504" s="8"/>
      <c r="E504" s="8"/>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8"/>
      <c r="B505" s="9"/>
      <c r="C505" s="10"/>
      <c r="D505" s="8"/>
      <c r="E505" s="8"/>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8"/>
      <c r="B506" s="9"/>
      <c r="C506" s="10"/>
      <c r="D506" s="8"/>
      <c r="E506" s="8"/>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8"/>
      <c r="B507" s="9"/>
      <c r="C507" s="10"/>
      <c r="D507" s="8"/>
      <c r="E507" s="8"/>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8"/>
      <c r="B508" s="9"/>
      <c r="C508" s="10"/>
      <c r="D508" s="8"/>
      <c r="E508" s="8"/>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8"/>
      <c r="B509" s="9"/>
      <c r="C509" s="10"/>
      <c r="D509" s="8"/>
      <c r="E509" s="8"/>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8"/>
      <c r="B510" s="9"/>
      <c r="C510" s="10"/>
      <c r="D510" s="8"/>
      <c r="E510" s="8"/>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8"/>
      <c r="B511" s="9"/>
      <c r="C511" s="10"/>
      <c r="D511" s="8"/>
      <c r="E511" s="8"/>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8"/>
      <c r="B512" s="9"/>
      <c r="C512" s="10"/>
      <c r="D512" s="8"/>
      <c r="E512" s="8"/>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8"/>
      <c r="B513" s="9"/>
      <c r="C513" s="10"/>
      <c r="D513" s="8"/>
      <c r="E513" s="8"/>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8"/>
      <c r="B514" s="9"/>
      <c r="C514" s="10"/>
      <c r="D514" s="8"/>
      <c r="E514" s="8"/>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8"/>
      <c r="B515" s="9"/>
      <c r="C515" s="10"/>
      <c r="D515" s="8"/>
      <c r="E515" s="8"/>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8"/>
      <c r="B516" s="9"/>
      <c r="C516" s="10"/>
      <c r="D516" s="8"/>
      <c r="E516" s="8"/>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8"/>
      <c r="B517" s="9"/>
      <c r="C517" s="10"/>
      <c r="D517" s="8"/>
      <c r="E517" s="8"/>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8"/>
      <c r="B518" s="9"/>
      <c r="C518" s="10"/>
      <c r="D518" s="8"/>
      <c r="E518" s="8"/>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8"/>
      <c r="B519" s="9"/>
      <c r="C519" s="10"/>
      <c r="D519" s="8"/>
      <c r="E519" s="8"/>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8"/>
      <c r="B520" s="9"/>
      <c r="C520" s="10"/>
      <c r="D520" s="8"/>
      <c r="E520" s="8"/>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8"/>
      <c r="B521" s="9"/>
      <c r="C521" s="10"/>
      <c r="D521" s="8"/>
      <c r="E521" s="8"/>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8"/>
      <c r="B522" s="9"/>
      <c r="C522" s="10"/>
      <c r="D522" s="8"/>
      <c r="E522" s="8"/>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8"/>
      <c r="B523" s="9"/>
      <c r="C523" s="10"/>
      <c r="D523" s="8"/>
      <c r="E523" s="8"/>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8"/>
      <c r="B524" s="9"/>
      <c r="C524" s="10"/>
      <c r="D524" s="8"/>
      <c r="E524" s="8"/>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8"/>
      <c r="B525" s="9"/>
      <c r="C525" s="10"/>
      <c r="D525" s="8"/>
      <c r="E525" s="8"/>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8"/>
      <c r="B526" s="9"/>
      <c r="C526" s="10"/>
      <c r="D526" s="8"/>
      <c r="E526" s="8"/>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8"/>
      <c r="B527" s="9"/>
      <c r="C527" s="10"/>
      <c r="D527" s="8"/>
      <c r="E527" s="8"/>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8"/>
      <c r="B528" s="9"/>
      <c r="C528" s="10"/>
      <c r="D528" s="8"/>
      <c r="E528" s="8"/>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8"/>
      <c r="B529" s="9"/>
      <c r="C529" s="10"/>
      <c r="D529" s="8"/>
      <c r="E529" s="8"/>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8"/>
      <c r="B530" s="9"/>
      <c r="C530" s="10"/>
      <c r="D530" s="8"/>
      <c r="E530" s="8"/>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8"/>
      <c r="B531" s="9"/>
      <c r="C531" s="10"/>
      <c r="D531" s="8"/>
      <c r="E531" s="8"/>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8"/>
      <c r="B532" s="9"/>
      <c r="C532" s="10"/>
      <c r="D532" s="8"/>
      <c r="E532" s="8"/>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8"/>
      <c r="B533" s="9"/>
      <c r="C533" s="10"/>
      <c r="D533" s="8"/>
      <c r="E533" s="8"/>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8"/>
      <c r="B534" s="9"/>
      <c r="C534" s="10"/>
      <c r="D534" s="8"/>
      <c r="E534" s="8"/>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8"/>
      <c r="B535" s="9"/>
      <c r="C535" s="10"/>
      <c r="D535" s="8"/>
      <c r="E535" s="8"/>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8"/>
      <c r="B536" s="9"/>
      <c r="C536" s="10"/>
      <c r="D536" s="8"/>
      <c r="E536" s="8"/>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8"/>
      <c r="B537" s="9"/>
      <c r="C537" s="10"/>
      <c r="D537" s="8"/>
      <c r="E537" s="8"/>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8"/>
      <c r="B538" s="9"/>
      <c r="C538" s="10"/>
      <c r="D538" s="8"/>
      <c r="E538" s="8"/>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8"/>
      <c r="B539" s="9"/>
      <c r="C539" s="10"/>
      <c r="D539" s="8"/>
      <c r="E539" s="8"/>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8"/>
      <c r="B540" s="9"/>
      <c r="C540" s="10"/>
      <c r="D540" s="8"/>
      <c r="E540" s="8"/>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8"/>
      <c r="B541" s="9"/>
      <c r="C541" s="10"/>
      <c r="D541" s="8"/>
      <c r="E541" s="8"/>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8"/>
      <c r="B542" s="9"/>
      <c r="C542" s="10"/>
      <c r="D542" s="8"/>
      <c r="E542" s="8"/>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8"/>
      <c r="B543" s="9"/>
      <c r="C543" s="10"/>
      <c r="D543" s="8"/>
      <c r="E543" s="8"/>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8"/>
      <c r="B544" s="9"/>
      <c r="C544" s="10"/>
      <c r="D544" s="8"/>
      <c r="E544" s="8"/>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8"/>
      <c r="B545" s="9"/>
      <c r="C545" s="10"/>
      <c r="D545" s="8"/>
      <c r="E545" s="8"/>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8"/>
      <c r="B546" s="9"/>
      <c r="C546" s="10"/>
      <c r="D546" s="8"/>
      <c r="E546" s="8"/>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8"/>
      <c r="B547" s="9"/>
      <c r="C547" s="10"/>
      <c r="D547" s="8"/>
      <c r="E547" s="8"/>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8"/>
      <c r="B548" s="9"/>
      <c r="C548" s="10"/>
      <c r="D548" s="8"/>
      <c r="E548" s="8"/>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8"/>
      <c r="B549" s="9"/>
      <c r="C549" s="10"/>
      <c r="D549" s="8"/>
      <c r="E549" s="8"/>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8"/>
      <c r="B550" s="9"/>
      <c r="C550" s="10"/>
      <c r="D550" s="8"/>
      <c r="E550" s="8"/>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8"/>
      <c r="B551" s="9"/>
      <c r="C551" s="10"/>
      <c r="D551" s="8"/>
      <c r="E551" s="8"/>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8"/>
      <c r="B552" s="9"/>
      <c r="C552" s="10"/>
      <c r="D552" s="8"/>
      <c r="E552" s="8"/>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8"/>
      <c r="B553" s="9"/>
      <c r="C553" s="10"/>
      <c r="D553" s="8"/>
      <c r="E553" s="8"/>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8"/>
      <c r="B554" s="9"/>
      <c r="C554" s="10"/>
      <c r="D554" s="8"/>
      <c r="E554" s="8"/>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8"/>
      <c r="B555" s="9"/>
      <c r="C555" s="10"/>
      <c r="D555" s="8"/>
      <c r="E555" s="8"/>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8"/>
      <c r="B556" s="9"/>
      <c r="C556" s="10"/>
      <c r="D556" s="8"/>
      <c r="E556" s="8"/>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8"/>
      <c r="B557" s="9"/>
      <c r="C557" s="10"/>
      <c r="D557" s="8"/>
      <c r="E557" s="8"/>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8"/>
      <c r="B558" s="9"/>
      <c r="C558" s="10"/>
      <c r="D558" s="8"/>
      <c r="E558" s="8"/>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8"/>
      <c r="B559" s="9"/>
      <c r="C559" s="10"/>
      <c r="D559" s="8"/>
      <c r="E559" s="8"/>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8"/>
      <c r="B560" s="9"/>
      <c r="C560" s="10"/>
      <c r="D560" s="8"/>
      <c r="E560" s="8"/>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8"/>
      <c r="B561" s="9"/>
      <c r="C561" s="10"/>
      <c r="D561" s="8"/>
      <c r="E561" s="8"/>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8"/>
      <c r="B562" s="9"/>
      <c r="C562" s="10"/>
      <c r="D562" s="8"/>
      <c r="E562" s="8"/>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8"/>
      <c r="B563" s="9"/>
      <c r="C563" s="10"/>
      <c r="D563" s="8"/>
      <c r="E563" s="8"/>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8"/>
      <c r="B564" s="9"/>
      <c r="C564" s="10"/>
      <c r="D564" s="8"/>
      <c r="E564" s="8"/>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8"/>
      <c r="B565" s="9"/>
      <c r="C565" s="10"/>
      <c r="D565" s="8"/>
      <c r="E565" s="8"/>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8"/>
      <c r="B566" s="9"/>
      <c r="C566" s="10"/>
      <c r="D566" s="8"/>
      <c r="E566" s="8"/>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8"/>
      <c r="B567" s="9"/>
      <c r="C567" s="10"/>
      <c r="D567" s="8"/>
      <c r="E567" s="8"/>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8"/>
      <c r="B568" s="9"/>
      <c r="C568" s="10"/>
      <c r="D568" s="8"/>
      <c r="E568" s="8"/>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8"/>
      <c r="B569" s="9"/>
      <c r="C569" s="10"/>
      <c r="D569" s="8"/>
      <c r="E569" s="8"/>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8"/>
      <c r="B570" s="9"/>
      <c r="C570" s="10"/>
      <c r="D570" s="8"/>
      <c r="E570" s="8"/>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8"/>
      <c r="B571" s="9"/>
      <c r="C571" s="10"/>
      <c r="D571" s="8"/>
      <c r="E571" s="8"/>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8"/>
      <c r="B572" s="9"/>
      <c r="C572" s="10"/>
      <c r="D572" s="8"/>
      <c r="E572" s="8"/>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8"/>
      <c r="B573" s="9"/>
      <c r="C573" s="10"/>
      <c r="D573" s="8"/>
      <c r="E573" s="8"/>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8"/>
      <c r="B574" s="9"/>
      <c r="C574" s="10"/>
      <c r="D574" s="8"/>
      <c r="E574" s="8"/>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8"/>
      <c r="B575" s="9"/>
      <c r="C575" s="10"/>
      <c r="D575" s="8"/>
      <c r="E575" s="8"/>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8"/>
      <c r="B576" s="9"/>
      <c r="C576" s="10"/>
      <c r="D576" s="8"/>
      <c r="E576" s="8"/>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8"/>
      <c r="B577" s="9"/>
      <c r="C577" s="10"/>
      <c r="D577" s="8"/>
      <c r="E577" s="8"/>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8"/>
      <c r="B578" s="9"/>
      <c r="C578" s="10"/>
      <c r="D578" s="8"/>
      <c r="E578" s="8"/>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8"/>
      <c r="B579" s="9"/>
      <c r="C579" s="10"/>
      <c r="D579" s="8"/>
      <c r="E579" s="8"/>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8"/>
      <c r="B580" s="9"/>
      <c r="C580" s="10"/>
      <c r="D580" s="8"/>
      <c r="E580" s="8"/>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8"/>
      <c r="B581" s="9"/>
      <c r="C581" s="10"/>
      <c r="D581" s="8"/>
      <c r="E581" s="8"/>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8"/>
      <c r="B582" s="9"/>
      <c r="C582" s="10"/>
      <c r="D582" s="8"/>
      <c r="E582" s="8"/>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8"/>
      <c r="B583" s="9"/>
      <c r="C583" s="10"/>
      <c r="D583" s="8"/>
      <c r="E583" s="8"/>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8"/>
      <c r="B584" s="9"/>
      <c r="C584" s="10"/>
      <c r="D584" s="8"/>
      <c r="E584" s="8"/>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8"/>
      <c r="B585" s="9"/>
      <c r="C585" s="10"/>
      <c r="D585" s="8"/>
      <c r="E585" s="8"/>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8"/>
      <c r="B586" s="9"/>
      <c r="C586" s="10"/>
      <c r="D586" s="8"/>
      <c r="E586" s="8"/>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8"/>
      <c r="B587" s="9"/>
      <c r="C587" s="10"/>
      <c r="D587" s="8"/>
      <c r="E587" s="8"/>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8"/>
      <c r="B588" s="9"/>
      <c r="C588" s="10"/>
      <c r="D588" s="8"/>
      <c r="E588" s="8"/>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8"/>
      <c r="B589" s="9"/>
      <c r="C589" s="10"/>
      <c r="D589" s="8"/>
      <c r="E589" s="8"/>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8"/>
      <c r="B590" s="9"/>
      <c r="C590" s="10"/>
      <c r="D590" s="8"/>
      <c r="E590" s="8"/>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8"/>
      <c r="B591" s="9"/>
      <c r="C591" s="10"/>
      <c r="D591" s="8"/>
      <c r="E591" s="8"/>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8"/>
      <c r="B592" s="9"/>
      <c r="C592" s="10"/>
      <c r="D592" s="8"/>
      <c r="E592" s="8"/>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8"/>
      <c r="B593" s="9"/>
      <c r="C593" s="10"/>
      <c r="D593" s="8"/>
      <c r="E593" s="8"/>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8"/>
      <c r="B594" s="9"/>
      <c r="C594" s="10"/>
      <c r="D594" s="8"/>
      <c r="E594" s="8"/>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8"/>
      <c r="B595" s="9"/>
      <c r="C595" s="10"/>
      <c r="D595" s="8"/>
      <c r="E595" s="8"/>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8"/>
      <c r="B596" s="9"/>
      <c r="C596" s="10"/>
      <c r="D596" s="8"/>
      <c r="E596" s="8"/>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8"/>
      <c r="B597" s="9"/>
      <c r="C597" s="10"/>
      <c r="D597" s="8"/>
      <c r="E597" s="8"/>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8"/>
      <c r="B598" s="9"/>
      <c r="C598" s="10"/>
      <c r="D598" s="8"/>
      <c r="E598" s="8"/>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8"/>
      <c r="B599" s="9"/>
      <c r="C599" s="10"/>
      <c r="D599" s="8"/>
      <c r="E599" s="8"/>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8"/>
      <c r="B600" s="9"/>
      <c r="C600" s="10"/>
      <c r="D600" s="8"/>
      <c r="E600" s="8"/>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8"/>
      <c r="B601" s="9"/>
      <c r="C601" s="10"/>
      <c r="D601" s="8"/>
      <c r="E601" s="8"/>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8"/>
      <c r="B602" s="9"/>
      <c r="C602" s="10"/>
      <c r="D602" s="8"/>
      <c r="E602" s="8"/>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8"/>
      <c r="B603" s="9"/>
      <c r="C603" s="10"/>
      <c r="D603" s="8"/>
      <c r="E603" s="8"/>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8"/>
      <c r="B604" s="9"/>
      <c r="C604" s="10"/>
      <c r="D604" s="8"/>
      <c r="E604" s="8"/>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8"/>
      <c r="B605" s="9"/>
      <c r="C605" s="10"/>
      <c r="D605" s="8"/>
      <c r="E605" s="8"/>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8"/>
      <c r="B606" s="9"/>
      <c r="C606" s="10"/>
      <c r="D606" s="8"/>
      <c r="E606" s="8"/>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8"/>
      <c r="B607" s="9"/>
      <c r="C607" s="10"/>
      <c r="D607" s="8"/>
      <c r="E607" s="8"/>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8"/>
      <c r="B608" s="9"/>
      <c r="C608" s="10"/>
      <c r="D608" s="8"/>
      <c r="E608" s="8"/>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8"/>
      <c r="B609" s="9"/>
      <c r="C609" s="10"/>
      <c r="D609" s="8"/>
      <c r="E609" s="8"/>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8"/>
      <c r="B610" s="9"/>
      <c r="C610" s="10"/>
      <c r="D610" s="8"/>
      <c r="E610" s="8"/>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8"/>
      <c r="B611" s="9"/>
      <c r="C611" s="10"/>
      <c r="D611" s="8"/>
      <c r="E611" s="8"/>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8"/>
      <c r="B612" s="9"/>
      <c r="C612" s="10"/>
      <c r="D612" s="8"/>
      <c r="E612" s="8"/>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8"/>
      <c r="B613" s="9"/>
      <c r="C613" s="10"/>
      <c r="D613" s="8"/>
      <c r="E613" s="8"/>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8"/>
      <c r="B614" s="9"/>
      <c r="C614" s="10"/>
      <c r="D614" s="8"/>
      <c r="E614" s="8"/>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8"/>
      <c r="B615" s="9"/>
      <c r="C615" s="10"/>
      <c r="D615" s="8"/>
      <c r="E615" s="8"/>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8"/>
      <c r="B616" s="9"/>
      <c r="C616" s="10"/>
      <c r="D616" s="8"/>
      <c r="E616" s="8"/>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8"/>
      <c r="B617" s="9"/>
      <c r="C617" s="10"/>
      <c r="D617" s="8"/>
      <c r="E617" s="8"/>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8"/>
      <c r="B618" s="9"/>
      <c r="C618" s="10"/>
      <c r="D618" s="8"/>
      <c r="E618" s="8"/>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8"/>
      <c r="B619" s="9"/>
      <c r="C619" s="10"/>
      <c r="D619" s="8"/>
      <c r="E619" s="8"/>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8"/>
      <c r="B620" s="9"/>
      <c r="C620" s="10"/>
      <c r="D620" s="8"/>
      <c r="E620" s="8"/>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8"/>
      <c r="B621" s="9"/>
      <c r="C621" s="10"/>
      <c r="D621" s="8"/>
      <c r="E621" s="8"/>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8"/>
      <c r="B622" s="9"/>
      <c r="C622" s="10"/>
      <c r="D622" s="8"/>
      <c r="E622" s="8"/>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8"/>
      <c r="B623" s="9"/>
      <c r="C623" s="10"/>
      <c r="D623" s="8"/>
      <c r="E623" s="8"/>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8"/>
      <c r="B624" s="9"/>
      <c r="C624" s="10"/>
      <c r="D624" s="8"/>
      <c r="E624" s="8"/>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8"/>
      <c r="B625" s="9"/>
      <c r="C625" s="10"/>
      <c r="D625" s="8"/>
      <c r="E625" s="8"/>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8"/>
      <c r="B626" s="9"/>
      <c r="C626" s="10"/>
      <c r="D626" s="8"/>
      <c r="E626" s="8"/>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8"/>
      <c r="B627" s="9"/>
      <c r="C627" s="10"/>
      <c r="D627" s="8"/>
      <c r="E627" s="8"/>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8"/>
      <c r="B628" s="9"/>
      <c r="C628" s="10"/>
      <c r="D628" s="8"/>
      <c r="E628" s="8"/>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8"/>
      <c r="B629" s="9"/>
      <c r="C629" s="10"/>
      <c r="D629" s="8"/>
      <c r="E629" s="8"/>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8"/>
      <c r="B630" s="9"/>
      <c r="C630" s="10"/>
      <c r="D630" s="8"/>
      <c r="E630" s="8"/>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8"/>
      <c r="B631" s="9"/>
      <c r="C631" s="10"/>
      <c r="D631" s="8"/>
      <c r="E631" s="8"/>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8"/>
      <c r="B632" s="9"/>
      <c r="C632" s="10"/>
      <c r="D632" s="8"/>
      <c r="E632" s="8"/>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8"/>
      <c r="B633" s="9"/>
      <c r="C633" s="10"/>
      <c r="D633" s="8"/>
      <c r="E633" s="8"/>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8"/>
      <c r="B634" s="9"/>
      <c r="C634" s="10"/>
      <c r="D634" s="8"/>
      <c r="E634" s="8"/>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8"/>
      <c r="B635" s="9"/>
      <c r="C635" s="10"/>
      <c r="D635" s="8"/>
      <c r="E635" s="8"/>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8"/>
      <c r="B636" s="9"/>
      <c r="C636" s="10"/>
      <c r="D636" s="8"/>
      <c r="E636" s="8"/>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8"/>
      <c r="B637" s="9"/>
      <c r="C637" s="10"/>
      <c r="D637" s="8"/>
      <c r="E637" s="8"/>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8"/>
      <c r="B638" s="9"/>
      <c r="C638" s="10"/>
      <c r="D638" s="8"/>
      <c r="E638" s="8"/>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8"/>
      <c r="B639" s="9"/>
      <c r="C639" s="10"/>
      <c r="D639" s="8"/>
      <c r="E639" s="8"/>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8"/>
      <c r="B640" s="9"/>
      <c r="C640" s="10"/>
      <c r="D640" s="8"/>
      <c r="E640" s="8"/>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8"/>
      <c r="B641" s="9"/>
      <c r="C641" s="10"/>
      <c r="D641" s="8"/>
      <c r="E641" s="8"/>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8"/>
      <c r="B642" s="9"/>
      <c r="C642" s="10"/>
      <c r="D642" s="8"/>
      <c r="E642" s="8"/>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8"/>
      <c r="B643" s="9"/>
      <c r="C643" s="10"/>
      <c r="D643" s="8"/>
      <c r="E643" s="8"/>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8"/>
      <c r="B644" s="9"/>
      <c r="C644" s="10"/>
      <c r="D644" s="8"/>
      <c r="E644" s="8"/>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8"/>
      <c r="B645" s="9"/>
      <c r="C645" s="10"/>
      <c r="D645" s="8"/>
      <c r="E645" s="8"/>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8"/>
      <c r="B646" s="9"/>
      <c r="C646" s="10"/>
      <c r="D646" s="8"/>
      <c r="E646" s="8"/>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8"/>
      <c r="B647" s="9"/>
      <c r="C647" s="10"/>
      <c r="D647" s="8"/>
      <c r="E647" s="8"/>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8"/>
      <c r="B648" s="9"/>
      <c r="C648" s="10"/>
      <c r="D648" s="8"/>
      <c r="E648" s="8"/>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8"/>
      <c r="B649" s="9"/>
      <c r="C649" s="10"/>
      <c r="D649" s="8"/>
      <c r="E649" s="8"/>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8"/>
      <c r="B650" s="9"/>
      <c r="C650" s="10"/>
      <c r="D650" s="8"/>
      <c r="E650" s="8"/>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8"/>
      <c r="B651" s="9"/>
      <c r="C651" s="10"/>
      <c r="D651" s="8"/>
      <c r="E651" s="8"/>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8"/>
      <c r="B652" s="9"/>
      <c r="C652" s="10"/>
      <c r="D652" s="8"/>
      <c r="E652" s="8"/>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8"/>
      <c r="B653" s="9"/>
      <c r="C653" s="10"/>
      <c r="D653" s="8"/>
      <c r="E653" s="8"/>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8"/>
      <c r="B654" s="9"/>
      <c r="C654" s="10"/>
      <c r="D654" s="8"/>
      <c r="E654" s="8"/>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8"/>
      <c r="B655" s="9"/>
      <c r="C655" s="10"/>
      <c r="D655" s="8"/>
      <c r="E655" s="8"/>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8"/>
      <c r="B656" s="9"/>
      <c r="C656" s="10"/>
      <c r="D656" s="8"/>
      <c r="E656" s="8"/>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8"/>
      <c r="B657" s="9"/>
      <c r="C657" s="10"/>
      <c r="D657" s="8"/>
      <c r="E657" s="8"/>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8"/>
      <c r="B658" s="9"/>
      <c r="C658" s="10"/>
      <c r="D658" s="8"/>
      <c r="E658" s="8"/>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8"/>
      <c r="B659" s="9"/>
      <c r="C659" s="10"/>
      <c r="D659" s="8"/>
      <c r="E659" s="8"/>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8"/>
      <c r="B660" s="9"/>
      <c r="C660" s="10"/>
      <c r="D660" s="8"/>
      <c r="E660" s="8"/>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8"/>
      <c r="B661" s="9"/>
      <c r="C661" s="10"/>
      <c r="D661" s="8"/>
      <c r="E661" s="8"/>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8"/>
      <c r="B662" s="9"/>
      <c r="C662" s="10"/>
      <c r="D662" s="8"/>
      <c r="E662" s="8"/>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8"/>
      <c r="B663" s="9"/>
      <c r="C663" s="10"/>
      <c r="D663" s="8"/>
      <c r="E663" s="8"/>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8"/>
      <c r="B664" s="9"/>
      <c r="C664" s="10"/>
      <c r="D664" s="8"/>
      <c r="E664" s="8"/>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8"/>
      <c r="B665" s="9"/>
      <c r="C665" s="10"/>
      <c r="D665" s="8"/>
      <c r="E665" s="8"/>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8"/>
      <c r="B666" s="9"/>
      <c r="C666" s="10"/>
      <c r="D666" s="8"/>
      <c r="E666" s="8"/>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8"/>
      <c r="B667" s="9"/>
      <c r="C667" s="10"/>
      <c r="D667" s="8"/>
      <c r="E667" s="8"/>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8"/>
      <c r="B668" s="9"/>
      <c r="C668" s="10"/>
      <c r="D668" s="8"/>
      <c r="E668" s="8"/>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8"/>
      <c r="B669" s="9"/>
      <c r="C669" s="10"/>
      <c r="D669" s="8"/>
      <c r="E669" s="8"/>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8"/>
      <c r="B670" s="9"/>
      <c r="C670" s="10"/>
      <c r="D670" s="8"/>
      <c r="E670" s="8"/>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8"/>
      <c r="B671" s="9"/>
      <c r="C671" s="10"/>
      <c r="D671" s="8"/>
      <c r="E671" s="8"/>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8"/>
      <c r="B672" s="9"/>
      <c r="C672" s="10"/>
      <c r="D672" s="8"/>
      <c r="E672" s="8"/>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8"/>
      <c r="B673" s="9"/>
      <c r="C673" s="10"/>
      <c r="D673" s="8"/>
      <c r="E673" s="8"/>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8"/>
      <c r="B674" s="9"/>
      <c r="C674" s="10"/>
      <c r="D674" s="8"/>
      <c r="E674" s="8"/>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8"/>
      <c r="B675" s="9"/>
      <c r="C675" s="10"/>
      <c r="D675" s="8"/>
      <c r="E675" s="8"/>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8"/>
      <c r="B676" s="9"/>
      <c r="C676" s="10"/>
      <c r="D676" s="8"/>
      <c r="E676" s="8"/>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8"/>
      <c r="B677" s="9"/>
      <c r="C677" s="10"/>
      <c r="D677" s="8"/>
      <c r="E677" s="8"/>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8"/>
      <c r="B678" s="9"/>
      <c r="C678" s="10"/>
      <c r="D678" s="8"/>
      <c r="E678" s="8"/>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8"/>
      <c r="B679" s="9"/>
      <c r="C679" s="10"/>
      <c r="D679" s="8"/>
      <c r="E679" s="8"/>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8"/>
      <c r="B680" s="9"/>
      <c r="C680" s="10"/>
      <c r="D680" s="8"/>
      <c r="E680" s="8"/>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8"/>
      <c r="B681" s="9"/>
      <c r="C681" s="10"/>
      <c r="D681" s="8"/>
      <c r="E681" s="8"/>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8"/>
      <c r="B682" s="9"/>
      <c r="C682" s="10"/>
      <c r="D682" s="8"/>
      <c r="E682" s="8"/>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8"/>
      <c r="B683" s="9"/>
      <c r="C683" s="10"/>
      <c r="D683" s="8"/>
      <c r="E683" s="8"/>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8"/>
      <c r="B684" s="9"/>
      <c r="C684" s="10"/>
      <c r="D684" s="8"/>
      <c r="E684" s="8"/>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8"/>
      <c r="B685" s="9"/>
      <c r="C685" s="10"/>
      <c r="D685" s="8"/>
      <c r="E685" s="8"/>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8"/>
      <c r="B686" s="9"/>
      <c r="C686" s="10"/>
      <c r="D686" s="8"/>
      <c r="E686" s="8"/>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8"/>
      <c r="B687" s="9"/>
      <c r="C687" s="10"/>
      <c r="D687" s="8"/>
      <c r="E687" s="8"/>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8"/>
      <c r="B688" s="9"/>
      <c r="C688" s="10"/>
      <c r="D688" s="8"/>
      <c r="E688" s="8"/>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8"/>
      <c r="B689" s="9"/>
      <c r="C689" s="10"/>
      <c r="D689" s="8"/>
      <c r="E689" s="8"/>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8"/>
      <c r="B690" s="9"/>
      <c r="C690" s="10"/>
      <c r="D690" s="8"/>
      <c r="E690" s="8"/>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8"/>
      <c r="B691" s="9"/>
      <c r="C691" s="10"/>
      <c r="D691" s="8"/>
      <c r="E691" s="8"/>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8"/>
      <c r="B692" s="9"/>
      <c r="C692" s="10"/>
      <c r="D692" s="8"/>
      <c r="E692" s="8"/>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8"/>
      <c r="B693" s="9"/>
      <c r="C693" s="10"/>
      <c r="D693" s="8"/>
      <c r="E693" s="8"/>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8"/>
      <c r="B694" s="9"/>
      <c r="C694" s="10"/>
      <c r="D694" s="8"/>
      <c r="E694" s="8"/>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8"/>
      <c r="B695" s="9"/>
      <c r="C695" s="10"/>
      <c r="D695" s="8"/>
      <c r="E695" s="8"/>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8"/>
      <c r="B696" s="9"/>
      <c r="C696" s="10"/>
      <c r="D696" s="8"/>
      <c r="E696" s="8"/>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8"/>
      <c r="B697" s="9"/>
      <c r="C697" s="10"/>
      <c r="D697" s="8"/>
      <c r="E697" s="8"/>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8"/>
      <c r="B698" s="9"/>
      <c r="C698" s="10"/>
      <c r="D698" s="8"/>
      <c r="E698" s="8"/>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8"/>
      <c r="B699" s="9"/>
      <c r="C699" s="10"/>
      <c r="D699" s="8"/>
      <c r="E699" s="8"/>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8"/>
      <c r="B700" s="9"/>
      <c r="C700" s="10"/>
      <c r="D700" s="8"/>
      <c r="E700" s="8"/>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8"/>
      <c r="B701" s="9"/>
      <c r="C701" s="10"/>
      <c r="D701" s="8"/>
      <c r="E701" s="8"/>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8"/>
      <c r="B702" s="9"/>
      <c r="C702" s="10"/>
      <c r="D702" s="8"/>
      <c r="E702" s="8"/>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8"/>
      <c r="B703" s="9"/>
      <c r="C703" s="10"/>
      <c r="D703" s="8"/>
      <c r="E703" s="8"/>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8"/>
      <c r="B704" s="9"/>
      <c r="C704" s="10"/>
      <c r="D704" s="8"/>
      <c r="E704" s="8"/>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8"/>
      <c r="B705" s="9"/>
      <c r="C705" s="10"/>
      <c r="D705" s="8"/>
      <c r="E705" s="8"/>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8"/>
      <c r="B706" s="9"/>
      <c r="C706" s="10"/>
      <c r="D706" s="8"/>
      <c r="E706" s="8"/>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8"/>
      <c r="B707" s="9"/>
      <c r="C707" s="10"/>
      <c r="D707" s="8"/>
      <c r="E707" s="8"/>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8"/>
      <c r="B708" s="9"/>
      <c r="C708" s="10"/>
      <c r="D708" s="8"/>
      <c r="E708" s="8"/>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8"/>
      <c r="B709" s="9"/>
      <c r="C709" s="10"/>
      <c r="D709" s="8"/>
      <c r="E709" s="8"/>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8"/>
      <c r="B710" s="9"/>
      <c r="C710" s="10"/>
      <c r="D710" s="8"/>
      <c r="E710" s="8"/>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8"/>
      <c r="B711" s="9"/>
      <c r="C711" s="10"/>
      <c r="D711" s="8"/>
      <c r="E711" s="8"/>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8"/>
      <c r="B712" s="9"/>
      <c r="C712" s="10"/>
      <c r="D712" s="8"/>
      <c r="E712" s="8"/>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8"/>
      <c r="B713" s="9"/>
      <c r="C713" s="10"/>
      <c r="D713" s="8"/>
      <c r="E713" s="8"/>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8"/>
      <c r="B714" s="9"/>
      <c r="C714" s="10"/>
      <c r="D714" s="8"/>
      <c r="E714" s="8"/>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8"/>
      <c r="B715" s="9"/>
      <c r="C715" s="10"/>
      <c r="D715" s="8"/>
      <c r="E715" s="8"/>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8"/>
      <c r="B716" s="9"/>
      <c r="C716" s="10"/>
      <c r="D716" s="8"/>
      <c r="E716" s="8"/>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8"/>
      <c r="B717" s="9"/>
      <c r="C717" s="10"/>
      <c r="D717" s="8"/>
      <c r="E717" s="8"/>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8"/>
      <c r="B718" s="9"/>
      <c r="C718" s="10"/>
      <c r="D718" s="8"/>
      <c r="E718" s="8"/>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8"/>
      <c r="B719" s="9"/>
      <c r="C719" s="10"/>
      <c r="D719" s="8"/>
      <c r="E719" s="8"/>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8"/>
      <c r="B720" s="9"/>
      <c r="C720" s="10"/>
      <c r="D720" s="8"/>
      <c r="E720" s="8"/>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8"/>
      <c r="B721" s="9"/>
      <c r="C721" s="10"/>
      <c r="D721" s="8"/>
      <c r="E721" s="8"/>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8"/>
      <c r="B722" s="9"/>
      <c r="C722" s="10"/>
      <c r="D722" s="8"/>
      <c r="E722" s="8"/>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8"/>
      <c r="B723" s="9"/>
      <c r="C723" s="10"/>
      <c r="D723" s="8"/>
      <c r="E723" s="8"/>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8"/>
      <c r="B724" s="9"/>
      <c r="C724" s="10"/>
      <c r="D724" s="8"/>
      <c r="E724" s="8"/>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8"/>
      <c r="B725" s="9"/>
      <c r="C725" s="10"/>
      <c r="D725" s="8"/>
      <c r="E725" s="8"/>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8"/>
      <c r="B726" s="9"/>
      <c r="C726" s="10"/>
      <c r="D726" s="8"/>
      <c r="E726" s="8"/>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8"/>
      <c r="B727" s="9"/>
      <c r="C727" s="10"/>
      <c r="D727" s="8"/>
      <c r="E727" s="8"/>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8"/>
      <c r="B728" s="9"/>
      <c r="C728" s="10"/>
      <c r="D728" s="8"/>
      <c r="E728" s="8"/>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8"/>
      <c r="B729" s="9"/>
      <c r="C729" s="10"/>
      <c r="D729" s="8"/>
      <c r="E729" s="8"/>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8"/>
      <c r="B730" s="9"/>
      <c r="C730" s="10"/>
      <c r="D730" s="8"/>
      <c r="E730" s="8"/>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8"/>
      <c r="B731" s="9"/>
      <c r="C731" s="10"/>
      <c r="D731" s="8"/>
      <c r="E731" s="8"/>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8"/>
      <c r="B732" s="9"/>
      <c r="C732" s="10"/>
      <c r="D732" s="8"/>
      <c r="E732" s="8"/>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8"/>
      <c r="B733" s="9"/>
      <c r="C733" s="10"/>
      <c r="D733" s="8"/>
      <c r="E733" s="8"/>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8"/>
      <c r="B734" s="9"/>
      <c r="C734" s="10"/>
      <c r="D734" s="8"/>
      <c r="E734" s="8"/>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8"/>
      <c r="B735" s="9"/>
      <c r="C735" s="10"/>
      <c r="D735" s="8"/>
      <c r="E735" s="8"/>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8"/>
      <c r="B736" s="9"/>
      <c r="C736" s="10"/>
      <c r="D736" s="8"/>
      <c r="E736" s="8"/>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8"/>
      <c r="B737" s="9"/>
      <c r="C737" s="10"/>
      <c r="D737" s="8"/>
      <c r="E737" s="8"/>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8"/>
      <c r="B738" s="9"/>
      <c r="C738" s="10"/>
      <c r="D738" s="8"/>
      <c r="E738" s="8"/>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8"/>
      <c r="B739" s="9"/>
      <c r="C739" s="10"/>
      <c r="D739" s="8"/>
      <c r="E739" s="8"/>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8"/>
      <c r="B740" s="9"/>
      <c r="C740" s="10"/>
      <c r="D740" s="8"/>
      <c r="E740" s="8"/>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8"/>
      <c r="B741" s="9"/>
      <c r="C741" s="10"/>
      <c r="D741" s="8"/>
      <c r="E741" s="8"/>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8"/>
      <c r="B742" s="9"/>
      <c r="C742" s="10"/>
      <c r="D742" s="8"/>
      <c r="E742" s="8"/>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8"/>
      <c r="B743" s="9"/>
      <c r="C743" s="10"/>
      <c r="D743" s="8"/>
      <c r="E743" s="8"/>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8"/>
      <c r="B744" s="9"/>
      <c r="C744" s="10"/>
      <c r="D744" s="8"/>
      <c r="E744" s="8"/>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8"/>
      <c r="B745" s="9"/>
      <c r="C745" s="10"/>
      <c r="D745" s="8"/>
      <c r="E745" s="8"/>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8"/>
      <c r="B746" s="9"/>
      <c r="C746" s="10"/>
      <c r="D746" s="8"/>
      <c r="E746" s="8"/>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8"/>
      <c r="B747" s="9"/>
      <c r="C747" s="10"/>
      <c r="D747" s="8"/>
      <c r="E747" s="8"/>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8"/>
      <c r="B748" s="9"/>
      <c r="C748" s="10"/>
      <c r="D748" s="8"/>
      <c r="E748" s="8"/>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8"/>
      <c r="B749" s="9"/>
      <c r="C749" s="10"/>
      <c r="D749" s="8"/>
      <c r="E749" s="8"/>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8"/>
      <c r="B750" s="9"/>
      <c r="C750" s="10"/>
      <c r="D750" s="8"/>
      <c r="E750" s="8"/>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8"/>
      <c r="B751" s="9"/>
      <c r="C751" s="10"/>
      <c r="D751" s="8"/>
      <c r="E751" s="8"/>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8"/>
      <c r="B752" s="9"/>
      <c r="C752" s="10"/>
      <c r="D752" s="8"/>
      <c r="E752" s="8"/>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8"/>
      <c r="B753" s="9"/>
      <c r="C753" s="10"/>
      <c r="D753" s="8"/>
      <c r="E753" s="8"/>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8"/>
      <c r="B754" s="9"/>
      <c r="C754" s="10"/>
      <c r="D754" s="8"/>
      <c r="E754" s="8"/>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8"/>
      <c r="B755" s="9"/>
      <c r="C755" s="10"/>
      <c r="D755" s="8"/>
      <c r="E755" s="8"/>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8"/>
      <c r="B756" s="9"/>
      <c r="C756" s="10"/>
      <c r="D756" s="8"/>
      <c r="E756" s="8"/>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8"/>
      <c r="B757" s="9"/>
      <c r="C757" s="10"/>
      <c r="D757" s="8"/>
      <c r="E757" s="8"/>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8"/>
      <c r="B758" s="9"/>
      <c r="C758" s="10"/>
      <c r="D758" s="8"/>
      <c r="E758" s="8"/>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8"/>
      <c r="B759" s="9"/>
      <c r="C759" s="10"/>
      <c r="D759" s="8"/>
      <c r="E759" s="8"/>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8"/>
      <c r="B760" s="9"/>
      <c r="C760" s="10"/>
      <c r="D760" s="8"/>
      <c r="E760" s="8"/>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8"/>
      <c r="B761" s="9"/>
      <c r="C761" s="10"/>
      <c r="D761" s="8"/>
      <c r="E761" s="8"/>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8"/>
      <c r="B762" s="9"/>
      <c r="C762" s="10"/>
      <c r="D762" s="8"/>
      <c r="E762" s="8"/>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8"/>
      <c r="B763" s="9"/>
      <c r="C763" s="10"/>
      <c r="D763" s="8"/>
      <c r="E763" s="8"/>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8"/>
      <c r="B764" s="9"/>
      <c r="C764" s="10"/>
      <c r="D764" s="8"/>
      <c r="E764" s="8"/>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8"/>
      <c r="B765" s="9"/>
      <c r="C765" s="10"/>
      <c r="D765" s="8"/>
      <c r="E765" s="8"/>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8"/>
      <c r="B766" s="9"/>
      <c r="C766" s="10"/>
      <c r="D766" s="8"/>
      <c r="E766" s="8"/>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8"/>
      <c r="B767" s="9"/>
      <c r="C767" s="10"/>
      <c r="D767" s="8"/>
      <c r="E767" s="8"/>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8"/>
      <c r="B768" s="9"/>
      <c r="C768" s="10"/>
      <c r="D768" s="8"/>
      <c r="E768" s="8"/>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8"/>
      <c r="B769" s="9"/>
      <c r="C769" s="10"/>
      <c r="D769" s="8"/>
      <c r="E769" s="8"/>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8"/>
      <c r="B770" s="9"/>
      <c r="C770" s="10"/>
      <c r="D770" s="8"/>
      <c r="E770" s="8"/>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8"/>
      <c r="B771" s="9"/>
      <c r="C771" s="10"/>
      <c r="D771" s="8"/>
      <c r="E771" s="8"/>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8"/>
      <c r="B772" s="9"/>
      <c r="C772" s="10"/>
      <c r="D772" s="8"/>
      <c r="E772" s="8"/>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8"/>
      <c r="B773" s="9"/>
      <c r="C773" s="10"/>
      <c r="D773" s="8"/>
      <c r="E773" s="8"/>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8"/>
      <c r="B774" s="9"/>
      <c r="C774" s="10"/>
      <c r="D774" s="8"/>
      <c r="E774" s="8"/>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8"/>
      <c r="B775" s="9"/>
      <c r="C775" s="10"/>
      <c r="D775" s="8"/>
      <c r="E775" s="8"/>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8"/>
      <c r="B776" s="9"/>
      <c r="C776" s="10"/>
      <c r="D776" s="8"/>
      <c r="E776" s="8"/>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8"/>
      <c r="B777" s="9"/>
      <c r="C777" s="10"/>
      <c r="D777" s="8"/>
      <c r="E777" s="8"/>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8"/>
      <c r="B778" s="9"/>
      <c r="C778" s="10"/>
      <c r="D778" s="8"/>
      <c r="E778" s="8"/>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8"/>
      <c r="B779" s="9"/>
      <c r="C779" s="10"/>
      <c r="D779" s="8"/>
      <c r="E779" s="8"/>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8"/>
      <c r="B780" s="9"/>
      <c r="C780" s="10"/>
      <c r="D780" s="8"/>
      <c r="E780" s="8"/>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8"/>
      <c r="B781" s="9"/>
      <c r="C781" s="10"/>
      <c r="D781" s="8"/>
      <c r="E781" s="8"/>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8"/>
      <c r="B782" s="9"/>
      <c r="C782" s="10"/>
      <c r="D782" s="8"/>
      <c r="E782" s="8"/>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8"/>
      <c r="B783" s="9"/>
      <c r="C783" s="10"/>
      <c r="D783" s="8"/>
      <c r="E783" s="8"/>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8"/>
      <c r="B784" s="9"/>
      <c r="C784" s="10"/>
      <c r="D784" s="8"/>
      <c r="E784" s="8"/>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8"/>
      <c r="B785" s="9"/>
      <c r="C785" s="10"/>
      <c r="D785" s="8"/>
      <c r="E785" s="8"/>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8"/>
      <c r="B786" s="9"/>
      <c r="C786" s="10"/>
      <c r="D786" s="8"/>
      <c r="E786" s="8"/>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8"/>
      <c r="B787" s="9"/>
      <c r="C787" s="10"/>
      <c r="D787" s="8"/>
      <c r="E787" s="8"/>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8"/>
      <c r="B788" s="9"/>
      <c r="C788" s="10"/>
      <c r="D788" s="8"/>
      <c r="E788" s="8"/>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8"/>
      <c r="B789" s="9"/>
      <c r="C789" s="10"/>
      <c r="D789" s="8"/>
      <c r="E789" s="8"/>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8"/>
      <c r="B790" s="9"/>
      <c r="C790" s="10"/>
      <c r="D790" s="8"/>
      <c r="E790" s="8"/>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8"/>
      <c r="B791" s="9"/>
      <c r="C791" s="10"/>
      <c r="D791" s="8"/>
      <c r="E791" s="8"/>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8"/>
      <c r="B792" s="9"/>
      <c r="C792" s="10"/>
      <c r="D792" s="8"/>
      <c r="E792" s="8"/>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8"/>
      <c r="B793" s="9"/>
      <c r="C793" s="10"/>
      <c r="D793" s="8"/>
      <c r="E793" s="8"/>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8"/>
      <c r="B794" s="9"/>
      <c r="C794" s="10"/>
      <c r="D794" s="8"/>
      <c r="E794" s="8"/>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8"/>
      <c r="B795" s="9"/>
      <c r="C795" s="10"/>
      <c r="D795" s="8"/>
      <c r="E795" s="8"/>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8"/>
      <c r="B796" s="9"/>
      <c r="C796" s="10"/>
      <c r="D796" s="8"/>
      <c r="E796" s="8"/>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8"/>
      <c r="B797" s="9"/>
      <c r="C797" s="10"/>
      <c r="D797" s="8"/>
      <c r="E797" s="8"/>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8"/>
      <c r="B798" s="9"/>
      <c r="C798" s="10"/>
      <c r="D798" s="8"/>
      <c r="E798" s="8"/>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8"/>
      <c r="B799" s="9"/>
      <c r="C799" s="10"/>
      <c r="D799" s="8"/>
      <c r="E799" s="8"/>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8"/>
      <c r="B800" s="9"/>
      <c r="C800" s="10"/>
      <c r="D800" s="8"/>
      <c r="E800" s="8"/>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8"/>
      <c r="B801" s="9"/>
      <c r="C801" s="10"/>
      <c r="D801" s="8"/>
      <c r="E801" s="8"/>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8"/>
      <c r="B802" s="9"/>
      <c r="C802" s="10"/>
      <c r="D802" s="8"/>
      <c r="E802" s="8"/>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8"/>
      <c r="B803" s="9"/>
      <c r="C803" s="10"/>
      <c r="D803" s="8"/>
      <c r="E803" s="8"/>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8"/>
      <c r="B804" s="9"/>
      <c r="C804" s="10"/>
      <c r="D804" s="8"/>
      <c r="E804" s="8"/>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8"/>
      <c r="B805" s="9"/>
      <c r="C805" s="10"/>
      <c r="D805" s="8"/>
      <c r="E805" s="8"/>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8"/>
      <c r="B806" s="9"/>
      <c r="C806" s="10"/>
      <c r="D806" s="8"/>
      <c r="E806" s="8"/>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8"/>
      <c r="B807" s="9"/>
      <c r="C807" s="10"/>
      <c r="D807" s="8"/>
      <c r="E807" s="8"/>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8"/>
      <c r="B808" s="9"/>
      <c r="C808" s="10"/>
      <c r="D808" s="8"/>
      <c r="E808" s="8"/>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8"/>
      <c r="B809" s="9"/>
      <c r="C809" s="10"/>
      <c r="D809" s="8"/>
      <c r="E809" s="8"/>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8"/>
      <c r="B810" s="9"/>
      <c r="C810" s="10"/>
      <c r="D810" s="8"/>
      <c r="E810" s="8"/>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8"/>
      <c r="B811" s="9"/>
      <c r="C811" s="10"/>
      <c r="D811" s="8"/>
      <c r="E811" s="8"/>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8"/>
      <c r="B812" s="9"/>
      <c r="C812" s="10"/>
      <c r="D812" s="8"/>
      <c r="E812" s="8"/>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8"/>
      <c r="B813" s="9"/>
      <c r="C813" s="10"/>
      <c r="D813" s="8"/>
      <c r="E813" s="8"/>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8"/>
      <c r="B814" s="9"/>
      <c r="C814" s="10"/>
      <c r="D814" s="8"/>
      <c r="E814" s="8"/>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8"/>
      <c r="B815" s="9"/>
      <c r="C815" s="10"/>
      <c r="D815" s="8"/>
      <c r="E815" s="8"/>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8"/>
      <c r="B816" s="9"/>
      <c r="C816" s="10"/>
      <c r="D816" s="8"/>
      <c r="E816" s="8"/>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8"/>
      <c r="B817" s="9"/>
      <c r="C817" s="10"/>
      <c r="D817" s="8"/>
      <c r="E817" s="8"/>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8"/>
      <c r="B818" s="9"/>
      <c r="C818" s="10"/>
      <c r="D818" s="8"/>
      <c r="E818" s="8"/>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8"/>
      <c r="B819" s="9"/>
      <c r="C819" s="10"/>
      <c r="D819" s="8"/>
      <c r="E819" s="8"/>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8"/>
      <c r="B820" s="9"/>
      <c r="C820" s="10"/>
      <c r="D820" s="8"/>
      <c r="E820" s="8"/>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8"/>
      <c r="B821" s="9"/>
      <c r="C821" s="10"/>
      <c r="D821" s="8"/>
      <c r="E821" s="8"/>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8"/>
      <c r="B822" s="9"/>
      <c r="C822" s="10"/>
      <c r="D822" s="8"/>
      <c r="E822" s="8"/>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8"/>
      <c r="B823" s="9"/>
      <c r="C823" s="10"/>
      <c r="D823" s="8"/>
      <c r="E823" s="8"/>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8"/>
      <c r="B824" s="9"/>
      <c r="C824" s="10"/>
      <c r="D824" s="8"/>
      <c r="E824" s="8"/>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8"/>
      <c r="B825" s="9"/>
      <c r="C825" s="10"/>
      <c r="D825" s="8"/>
      <c r="E825" s="8"/>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8"/>
      <c r="B826" s="9"/>
      <c r="C826" s="10"/>
      <c r="D826" s="8"/>
      <c r="E826" s="8"/>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8"/>
      <c r="B827" s="9"/>
      <c r="C827" s="10"/>
      <c r="D827" s="8"/>
      <c r="E827" s="8"/>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8"/>
      <c r="B828" s="9"/>
      <c r="C828" s="10"/>
      <c r="D828" s="8"/>
      <c r="E828" s="8"/>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8"/>
      <c r="B829" s="9"/>
      <c r="C829" s="10"/>
      <c r="D829" s="8"/>
      <c r="E829" s="8"/>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8"/>
      <c r="B830" s="9"/>
      <c r="C830" s="10"/>
      <c r="D830" s="8"/>
      <c r="E830" s="8"/>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8"/>
      <c r="B831" s="9"/>
      <c r="C831" s="10"/>
      <c r="D831" s="8"/>
      <c r="E831" s="8"/>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8"/>
      <c r="B832" s="9"/>
      <c r="C832" s="10"/>
      <c r="D832" s="8"/>
      <c r="E832" s="8"/>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8"/>
      <c r="B833" s="9"/>
      <c r="C833" s="10"/>
      <c r="D833" s="8"/>
      <c r="E833" s="8"/>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8"/>
      <c r="B834" s="9"/>
      <c r="C834" s="10"/>
      <c r="D834" s="8"/>
      <c r="E834" s="8"/>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8"/>
      <c r="B835" s="9"/>
      <c r="C835" s="10"/>
      <c r="D835" s="8"/>
      <c r="E835" s="8"/>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8"/>
      <c r="B836" s="9"/>
      <c r="C836" s="10"/>
      <c r="D836" s="8"/>
      <c r="E836" s="8"/>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8"/>
      <c r="B837" s="9"/>
      <c r="C837" s="10"/>
      <c r="D837" s="8"/>
      <c r="E837" s="8"/>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8"/>
      <c r="B838" s="9"/>
      <c r="C838" s="10"/>
      <c r="D838" s="8"/>
      <c r="E838" s="8"/>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8"/>
      <c r="B839" s="9"/>
      <c r="C839" s="10"/>
      <c r="D839" s="8"/>
      <c r="E839" s="8"/>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8"/>
      <c r="B840" s="9"/>
      <c r="C840" s="10"/>
      <c r="D840" s="8"/>
      <c r="E840" s="8"/>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8"/>
      <c r="B841" s="9"/>
      <c r="C841" s="10"/>
      <c r="D841" s="8"/>
      <c r="E841" s="8"/>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8"/>
      <c r="B842" s="9"/>
      <c r="C842" s="10"/>
      <c r="D842" s="8"/>
      <c r="E842" s="8"/>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8"/>
      <c r="B843" s="9"/>
      <c r="C843" s="10"/>
      <c r="D843" s="8"/>
      <c r="E843" s="8"/>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8"/>
      <c r="B844" s="9"/>
      <c r="C844" s="10"/>
      <c r="D844" s="8"/>
      <c r="E844" s="8"/>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8"/>
      <c r="B845" s="9"/>
      <c r="C845" s="10"/>
      <c r="D845" s="8"/>
      <c r="E845" s="8"/>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8"/>
      <c r="B846" s="9"/>
      <c r="C846" s="10"/>
      <c r="D846" s="8"/>
      <c r="E846" s="8"/>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8"/>
      <c r="B847" s="9"/>
      <c r="C847" s="10"/>
      <c r="D847" s="8"/>
      <c r="E847" s="8"/>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8"/>
      <c r="B848" s="9"/>
      <c r="C848" s="10"/>
      <c r="D848" s="8"/>
      <c r="E848" s="8"/>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8"/>
      <c r="B849" s="9"/>
      <c r="C849" s="10"/>
      <c r="D849" s="8"/>
      <c r="E849" s="8"/>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8"/>
      <c r="B850" s="9"/>
      <c r="C850" s="10"/>
      <c r="D850" s="8"/>
      <c r="E850" s="8"/>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8"/>
      <c r="B851" s="9"/>
      <c r="C851" s="10"/>
      <c r="D851" s="8"/>
      <c r="E851" s="8"/>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8"/>
      <c r="B852" s="9"/>
      <c r="C852" s="10"/>
      <c r="D852" s="8"/>
      <c r="E852" s="8"/>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8"/>
      <c r="B853" s="9"/>
      <c r="C853" s="10"/>
      <c r="D853" s="8"/>
      <c r="E853" s="8"/>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8"/>
      <c r="B854" s="9"/>
      <c r="C854" s="10"/>
      <c r="D854" s="8"/>
      <c r="E854" s="8"/>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8"/>
      <c r="B855" s="9"/>
      <c r="C855" s="10"/>
      <c r="D855" s="8"/>
      <c r="E855" s="8"/>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8"/>
      <c r="B856" s="9"/>
      <c r="C856" s="10"/>
      <c r="D856" s="8"/>
      <c r="E856" s="8"/>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8"/>
      <c r="B857" s="9"/>
      <c r="C857" s="10"/>
      <c r="D857" s="8"/>
      <c r="E857" s="8"/>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8"/>
      <c r="B858" s="9"/>
      <c r="C858" s="10"/>
      <c r="D858" s="8"/>
      <c r="E858" s="8"/>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8"/>
      <c r="B859" s="9"/>
      <c r="C859" s="10"/>
      <c r="D859" s="8"/>
      <c r="E859" s="8"/>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8"/>
      <c r="B860" s="9"/>
      <c r="C860" s="10"/>
      <c r="D860" s="8"/>
      <c r="E860" s="8"/>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8"/>
      <c r="B861" s="9"/>
      <c r="C861" s="10"/>
      <c r="D861" s="8"/>
      <c r="E861" s="8"/>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8"/>
      <c r="B862" s="9"/>
      <c r="C862" s="10"/>
      <c r="D862" s="8"/>
      <c r="E862" s="8"/>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8"/>
      <c r="B863" s="9"/>
      <c r="C863" s="10"/>
      <c r="D863" s="8"/>
      <c r="E863" s="8"/>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8"/>
      <c r="B864" s="9"/>
      <c r="C864" s="10"/>
      <c r="D864" s="8"/>
      <c r="E864" s="8"/>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8"/>
      <c r="B865" s="9"/>
      <c r="C865" s="10"/>
      <c r="D865" s="8"/>
      <c r="E865" s="8"/>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8"/>
      <c r="B866" s="9"/>
      <c r="C866" s="10"/>
      <c r="D866" s="8"/>
      <c r="E866" s="8"/>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8"/>
      <c r="B867" s="9"/>
      <c r="C867" s="10"/>
      <c r="D867" s="8"/>
      <c r="E867" s="8"/>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8"/>
      <c r="B868" s="9"/>
      <c r="C868" s="10"/>
      <c r="D868" s="8"/>
      <c r="E868" s="8"/>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8"/>
      <c r="B869" s="9"/>
      <c r="C869" s="10"/>
      <c r="D869" s="8"/>
      <c r="E869" s="8"/>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8"/>
      <c r="B870" s="9"/>
      <c r="C870" s="10"/>
      <c r="D870" s="8"/>
      <c r="E870" s="8"/>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8"/>
      <c r="B871" s="9"/>
      <c r="C871" s="10"/>
      <c r="D871" s="8"/>
      <c r="E871" s="8"/>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8"/>
      <c r="B872" s="9"/>
      <c r="C872" s="10"/>
      <c r="D872" s="8"/>
      <c r="E872" s="8"/>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8"/>
      <c r="B873" s="9"/>
      <c r="C873" s="10"/>
      <c r="D873" s="8"/>
      <c r="E873" s="8"/>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8"/>
      <c r="B874" s="9"/>
      <c r="C874" s="10"/>
      <c r="D874" s="8"/>
      <c r="E874" s="8"/>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8"/>
      <c r="B875" s="9"/>
      <c r="C875" s="10"/>
      <c r="D875" s="8"/>
      <c r="E875" s="8"/>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8"/>
      <c r="B876" s="9"/>
      <c r="C876" s="10"/>
      <c r="D876" s="8"/>
      <c r="E876" s="8"/>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8"/>
      <c r="B877" s="9"/>
      <c r="C877" s="10"/>
      <c r="D877" s="8"/>
      <c r="E877" s="8"/>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8"/>
      <c r="B878" s="9"/>
      <c r="C878" s="10"/>
      <c r="D878" s="8"/>
      <c r="E878" s="8"/>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8"/>
      <c r="B879" s="9"/>
      <c r="C879" s="10"/>
      <c r="D879" s="8"/>
      <c r="E879" s="8"/>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8"/>
      <c r="B880" s="9"/>
      <c r="C880" s="10"/>
      <c r="D880" s="8"/>
      <c r="E880" s="8"/>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8"/>
      <c r="B881" s="9"/>
      <c r="C881" s="10"/>
      <c r="D881" s="8"/>
      <c r="E881" s="8"/>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8"/>
      <c r="B882" s="9"/>
      <c r="C882" s="10"/>
      <c r="D882" s="8"/>
      <c r="E882" s="8"/>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8"/>
      <c r="B883" s="9"/>
      <c r="C883" s="10"/>
      <c r="D883" s="8"/>
      <c r="E883" s="8"/>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8"/>
      <c r="B884" s="9"/>
      <c r="C884" s="10"/>
      <c r="D884" s="8"/>
      <c r="E884" s="8"/>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8"/>
      <c r="B885" s="9"/>
      <c r="C885" s="10"/>
      <c r="D885" s="8"/>
      <c r="E885" s="8"/>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8"/>
      <c r="B886" s="9"/>
      <c r="C886" s="10"/>
      <c r="D886" s="8"/>
      <c r="E886" s="8"/>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8"/>
      <c r="B887" s="9"/>
      <c r="C887" s="10"/>
      <c r="D887" s="8"/>
      <c r="E887" s="8"/>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8"/>
      <c r="B888" s="9"/>
      <c r="C888" s="10"/>
      <c r="D888" s="8"/>
      <c r="E888" s="8"/>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8"/>
      <c r="B889" s="9"/>
      <c r="C889" s="10"/>
      <c r="D889" s="8"/>
      <c r="E889" s="8"/>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8"/>
      <c r="B890" s="9"/>
      <c r="C890" s="10"/>
      <c r="D890" s="8"/>
      <c r="E890" s="8"/>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8"/>
      <c r="B891" s="9"/>
      <c r="C891" s="10"/>
      <c r="D891" s="8"/>
      <c r="E891" s="8"/>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8"/>
      <c r="B892" s="9"/>
      <c r="C892" s="10"/>
      <c r="D892" s="8"/>
      <c r="E892" s="8"/>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8"/>
      <c r="B893" s="9"/>
      <c r="C893" s="10"/>
      <c r="D893" s="8"/>
      <c r="E893" s="8"/>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8"/>
      <c r="B894" s="9"/>
      <c r="C894" s="10"/>
      <c r="D894" s="8"/>
      <c r="E894" s="8"/>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8"/>
      <c r="B895" s="9"/>
      <c r="C895" s="10"/>
      <c r="D895" s="8"/>
      <c r="E895" s="8"/>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8"/>
      <c r="B896" s="9"/>
      <c r="C896" s="10"/>
      <c r="D896" s="8"/>
      <c r="E896" s="8"/>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8"/>
      <c r="B897" s="9"/>
      <c r="C897" s="10"/>
      <c r="D897" s="8"/>
      <c r="E897" s="8"/>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8"/>
      <c r="B898" s="9"/>
      <c r="C898" s="10"/>
      <c r="D898" s="8"/>
      <c r="E898" s="8"/>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8"/>
      <c r="B899" s="9"/>
      <c r="C899" s="10"/>
      <c r="D899" s="8"/>
      <c r="E899" s="8"/>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8"/>
      <c r="B900" s="9"/>
      <c r="C900" s="10"/>
      <c r="D900" s="8"/>
      <c r="E900" s="8"/>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8"/>
      <c r="B901" s="9"/>
      <c r="C901" s="10"/>
      <c r="D901" s="8"/>
      <c r="E901" s="8"/>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8"/>
      <c r="B902" s="9"/>
      <c r="C902" s="10"/>
      <c r="D902" s="8"/>
      <c r="E902" s="8"/>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8"/>
      <c r="B903" s="9"/>
      <c r="C903" s="10"/>
      <c r="D903" s="8"/>
      <c r="E903" s="8"/>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8"/>
      <c r="B904" s="9"/>
      <c r="C904" s="10"/>
      <c r="D904" s="8"/>
      <c r="E904" s="8"/>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8"/>
      <c r="B905" s="9"/>
      <c r="C905" s="10"/>
      <c r="D905" s="8"/>
      <c r="E905" s="8"/>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8"/>
      <c r="B906" s="9"/>
      <c r="C906" s="10"/>
      <c r="D906" s="8"/>
      <c r="E906" s="8"/>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8"/>
      <c r="B907" s="9"/>
      <c r="C907" s="10"/>
      <c r="D907" s="8"/>
      <c r="E907" s="8"/>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8"/>
      <c r="B908" s="9"/>
      <c r="C908" s="10"/>
      <c r="D908" s="8"/>
      <c r="E908" s="8"/>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8"/>
      <c r="B909" s="9"/>
      <c r="C909" s="10"/>
      <c r="D909" s="8"/>
      <c r="E909" s="8"/>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8"/>
      <c r="B910" s="9"/>
      <c r="C910" s="10"/>
      <c r="D910" s="8"/>
      <c r="E910" s="8"/>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8"/>
      <c r="B911" s="9"/>
      <c r="C911" s="10"/>
      <c r="D911" s="8"/>
      <c r="E911" s="8"/>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8"/>
      <c r="B912" s="9"/>
      <c r="C912" s="10"/>
      <c r="D912" s="8"/>
      <c r="E912" s="8"/>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8"/>
      <c r="B913" s="9"/>
      <c r="C913" s="10"/>
      <c r="D913" s="8"/>
      <c r="E913" s="8"/>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8"/>
      <c r="B914" s="9"/>
      <c r="C914" s="10"/>
      <c r="D914" s="8"/>
      <c r="E914" s="8"/>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8"/>
      <c r="B915" s="9"/>
      <c r="C915" s="10"/>
      <c r="D915" s="8"/>
      <c r="E915" s="8"/>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8"/>
      <c r="B916" s="9"/>
      <c r="C916" s="10"/>
      <c r="D916" s="8"/>
      <c r="E916" s="8"/>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8"/>
      <c r="B917" s="9"/>
      <c r="C917" s="10"/>
      <c r="D917" s="8"/>
      <c r="E917" s="8"/>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8"/>
      <c r="B918" s="9"/>
      <c r="C918" s="10"/>
      <c r="D918" s="8"/>
      <c r="E918" s="8"/>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8"/>
      <c r="B919" s="9"/>
      <c r="C919" s="10"/>
      <c r="D919" s="8"/>
      <c r="E919" s="8"/>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8"/>
      <c r="B920" s="9"/>
      <c r="C920" s="10"/>
      <c r="D920" s="8"/>
      <c r="E920" s="8"/>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8"/>
      <c r="B921" s="9"/>
      <c r="C921" s="10"/>
      <c r="D921" s="8"/>
      <c r="E921" s="8"/>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8"/>
      <c r="B922" s="9"/>
      <c r="C922" s="10"/>
      <c r="D922" s="8"/>
      <c r="E922" s="8"/>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8"/>
      <c r="B923" s="9"/>
      <c r="C923" s="10"/>
      <c r="D923" s="8"/>
      <c r="E923" s="8"/>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8"/>
      <c r="B924" s="9"/>
      <c r="C924" s="10"/>
      <c r="D924" s="8"/>
      <c r="E924" s="8"/>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8"/>
      <c r="B925" s="9"/>
      <c r="C925" s="10"/>
      <c r="D925" s="8"/>
      <c r="E925" s="8"/>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8"/>
      <c r="B926" s="9"/>
      <c r="C926" s="10"/>
      <c r="D926" s="8"/>
      <c r="E926" s="8"/>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8"/>
      <c r="B927" s="9"/>
      <c r="C927" s="10"/>
      <c r="D927" s="8"/>
      <c r="E927" s="8"/>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8"/>
      <c r="B928" s="9"/>
      <c r="C928" s="10"/>
      <c r="D928" s="8"/>
      <c r="E928" s="8"/>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8"/>
      <c r="B929" s="9"/>
      <c r="C929" s="10"/>
      <c r="D929" s="8"/>
      <c r="E929" s="8"/>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8"/>
      <c r="B930" s="9"/>
      <c r="C930" s="10"/>
      <c r="D930" s="8"/>
      <c r="E930" s="8"/>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8"/>
      <c r="B931" s="9"/>
      <c r="C931" s="10"/>
      <c r="D931" s="8"/>
      <c r="E931" s="8"/>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8"/>
      <c r="B932" s="9"/>
      <c r="C932" s="10"/>
      <c r="D932" s="8"/>
      <c r="E932" s="8"/>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8"/>
      <c r="B933" s="9"/>
      <c r="C933" s="10"/>
      <c r="D933" s="8"/>
      <c r="E933" s="8"/>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8"/>
      <c r="B934" s="9"/>
      <c r="C934" s="10"/>
      <c r="D934" s="8"/>
      <c r="E934" s="8"/>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8"/>
      <c r="B935" s="9"/>
      <c r="C935" s="10"/>
      <c r="D935" s="8"/>
      <c r="E935" s="8"/>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8"/>
      <c r="B936" s="9"/>
      <c r="C936" s="10"/>
      <c r="D936" s="8"/>
      <c r="E936" s="8"/>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8"/>
      <c r="B937" s="9"/>
      <c r="C937" s="10"/>
      <c r="D937" s="8"/>
      <c r="E937" s="8"/>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8"/>
      <c r="B938" s="9"/>
      <c r="C938" s="10"/>
      <c r="D938" s="8"/>
      <c r="E938" s="8"/>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8"/>
      <c r="B939" s="9"/>
      <c r="C939" s="10"/>
      <c r="D939" s="8"/>
      <c r="E939" s="8"/>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8"/>
      <c r="B940" s="9"/>
      <c r="C940" s="10"/>
      <c r="D940" s="8"/>
      <c r="E940" s="8"/>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8"/>
      <c r="B941" s="9"/>
      <c r="C941" s="10"/>
      <c r="D941" s="8"/>
      <c r="E941" s="8"/>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8"/>
      <c r="B942" s="9"/>
      <c r="C942" s="10"/>
      <c r="D942" s="8"/>
      <c r="E942" s="8"/>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8"/>
      <c r="B943" s="9"/>
      <c r="C943" s="10"/>
      <c r="D943" s="8"/>
      <c r="E943" s="8"/>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8"/>
      <c r="B944" s="9"/>
      <c r="C944" s="10"/>
      <c r="D944" s="8"/>
      <c r="E944" s="8"/>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8"/>
      <c r="B945" s="9"/>
      <c r="C945" s="10"/>
      <c r="D945" s="8"/>
      <c r="E945" s="8"/>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8"/>
      <c r="B946" s="9"/>
      <c r="C946" s="10"/>
      <c r="D946" s="8"/>
      <c r="E946" s="8"/>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8"/>
      <c r="B947" s="9"/>
      <c r="C947" s="10"/>
      <c r="D947" s="8"/>
      <c r="E947" s="8"/>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8"/>
      <c r="B948" s="9"/>
      <c r="C948" s="10"/>
      <c r="D948" s="8"/>
      <c r="E948" s="8"/>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8"/>
      <c r="B949" s="9"/>
      <c r="C949" s="10"/>
      <c r="D949" s="8"/>
      <c r="E949" s="8"/>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8"/>
      <c r="B950" s="9"/>
      <c r="C950" s="10"/>
      <c r="D950" s="8"/>
      <c r="E950" s="8"/>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8"/>
      <c r="B951" s="9"/>
      <c r="C951" s="10"/>
      <c r="D951" s="8"/>
      <c r="E951" s="8"/>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8"/>
      <c r="B952" s="9"/>
      <c r="C952" s="10"/>
      <c r="D952" s="8"/>
      <c r="E952" s="8"/>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8"/>
      <c r="B953" s="9"/>
      <c r="C953" s="10"/>
      <c r="D953" s="8"/>
      <c r="E953" s="8"/>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8"/>
      <c r="B954" s="9"/>
      <c r="C954" s="10"/>
      <c r="D954" s="8"/>
      <c r="E954" s="8"/>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8"/>
      <c r="B955" s="9"/>
      <c r="C955" s="10"/>
      <c r="D955" s="8"/>
      <c r="E955" s="8"/>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8"/>
      <c r="B956" s="9"/>
      <c r="C956" s="10"/>
      <c r="D956" s="8"/>
      <c r="E956" s="8"/>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8"/>
      <c r="B957" s="9"/>
      <c r="C957" s="10"/>
      <c r="D957" s="8"/>
      <c r="E957" s="8"/>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8"/>
      <c r="B958" s="9"/>
      <c r="C958" s="10"/>
      <c r="D958" s="8"/>
      <c r="E958" s="8"/>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8"/>
      <c r="B959" s="9"/>
      <c r="C959" s="10"/>
      <c r="D959" s="8"/>
      <c r="E959" s="8"/>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8"/>
      <c r="B960" s="9"/>
      <c r="C960" s="10"/>
      <c r="D960" s="8"/>
      <c r="E960" s="8"/>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8"/>
      <c r="B961" s="9"/>
      <c r="C961" s="10"/>
      <c r="D961" s="8"/>
      <c r="E961" s="8"/>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8"/>
      <c r="B962" s="9"/>
      <c r="C962" s="10"/>
      <c r="D962" s="8"/>
      <c r="E962" s="8"/>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8"/>
      <c r="B963" s="9"/>
      <c r="C963" s="10"/>
      <c r="D963" s="8"/>
      <c r="E963" s="8"/>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8"/>
      <c r="B964" s="9"/>
      <c r="C964" s="10"/>
      <c r="D964" s="8"/>
      <c r="E964" s="8"/>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8"/>
      <c r="B965" s="9"/>
      <c r="C965" s="10"/>
      <c r="D965" s="8"/>
      <c r="E965" s="8"/>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8"/>
      <c r="B966" s="9"/>
      <c r="C966" s="10"/>
      <c r="D966" s="8"/>
      <c r="E966" s="8"/>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8"/>
      <c r="B967" s="9"/>
      <c r="C967" s="10"/>
      <c r="D967" s="8"/>
      <c r="E967" s="8"/>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8"/>
      <c r="B968" s="9"/>
      <c r="C968" s="10"/>
      <c r="D968" s="8"/>
      <c r="E968" s="8"/>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8"/>
      <c r="B969" s="9"/>
      <c r="C969" s="10"/>
      <c r="D969" s="8"/>
      <c r="E969" s="8"/>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8"/>
      <c r="B970" s="9"/>
      <c r="C970" s="10"/>
      <c r="D970" s="8"/>
      <c r="E970" s="8"/>
      <c r="F970" s="4"/>
      <c r="G970" s="4"/>
      <c r="H970" s="4"/>
      <c r="I970" s="4"/>
      <c r="J970" s="4"/>
      <c r="K970" s="4"/>
      <c r="L970" s="4"/>
      <c r="M970" s="4"/>
      <c r="N970" s="4"/>
      <c r="O970" s="4"/>
      <c r="P970" s="4"/>
      <c r="Q970" s="4"/>
      <c r="R970" s="4"/>
      <c r="S970" s="4"/>
      <c r="T970" s="4"/>
      <c r="U970" s="4"/>
      <c r="V970" s="4"/>
      <c r="W970" s="4"/>
      <c r="X970" s="4"/>
      <c r="Y970" s="4"/>
      <c r="Z970" s="4"/>
    </row>
    <row r="971" spans="1:26" ht="12.75" customHeight="1">
      <c r="A971" s="8"/>
      <c r="B971" s="9"/>
      <c r="C971" s="10"/>
      <c r="D971" s="8"/>
      <c r="E971" s="8"/>
      <c r="F971" s="4"/>
      <c r="G971" s="4"/>
      <c r="H971" s="4"/>
      <c r="I971" s="4"/>
      <c r="J971" s="4"/>
      <c r="K971" s="4"/>
      <c r="L971" s="4"/>
      <c r="M971" s="4"/>
      <c r="N971" s="4"/>
      <c r="O971" s="4"/>
      <c r="P971" s="4"/>
      <c r="Q971" s="4"/>
      <c r="R971" s="4"/>
      <c r="S971" s="4"/>
      <c r="T971" s="4"/>
      <c r="U971" s="4"/>
      <c r="V971" s="4"/>
      <c r="W971" s="4"/>
      <c r="X971" s="4"/>
      <c r="Y971" s="4"/>
      <c r="Z971" s="4"/>
    </row>
    <row r="972" spans="1:26" ht="12.75" customHeight="1">
      <c r="A972" s="8"/>
      <c r="B972" s="9"/>
      <c r="C972" s="10"/>
      <c r="D972" s="8"/>
      <c r="E972" s="8"/>
      <c r="F972" s="4"/>
      <c r="G972" s="4"/>
      <c r="H972" s="4"/>
      <c r="I972" s="4"/>
      <c r="J972" s="4"/>
      <c r="K972" s="4"/>
      <c r="L972" s="4"/>
      <c r="M972" s="4"/>
      <c r="N972" s="4"/>
      <c r="O972" s="4"/>
      <c r="P972" s="4"/>
      <c r="Q972" s="4"/>
      <c r="R972" s="4"/>
      <c r="S972" s="4"/>
      <c r="T972" s="4"/>
      <c r="U972" s="4"/>
      <c r="V972" s="4"/>
      <c r="W972" s="4"/>
      <c r="X972" s="4"/>
      <c r="Y972" s="4"/>
      <c r="Z972" s="4"/>
    </row>
    <row r="973" spans="1:26" ht="12.75" customHeight="1">
      <c r="A973" s="8"/>
      <c r="B973" s="9"/>
      <c r="C973" s="10"/>
      <c r="D973" s="8"/>
      <c r="E973" s="8"/>
      <c r="F973" s="4"/>
      <c r="G973" s="4"/>
      <c r="H973" s="4"/>
      <c r="I973" s="4"/>
      <c r="J973" s="4"/>
      <c r="K973" s="4"/>
      <c r="L973" s="4"/>
      <c r="M973" s="4"/>
      <c r="N973" s="4"/>
      <c r="O973" s="4"/>
      <c r="P973" s="4"/>
      <c r="Q973" s="4"/>
      <c r="R973" s="4"/>
      <c r="S973" s="4"/>
      <c r="T973" s="4"/>
      <c r="U973" s="4"/>
      <c r="V973" s="4"/>
      <c r="W973" s="4"/>
      <c r="X973" s="4"/>
      <c r="Y973" s="4"/>
      <c r="Z973" s="4"/>
    </row>
    <row r="974" spans="1:26" ht="12.75" customHeight="1">
      <c r="A974" s="8"/>
      <c r="B974" s="9"/>
      <c r="C974" s="10"/>
      <c r="D974" s="8"/>
      <c r="E974" s="8"/>
      <c r="F974" s="4"/>
      <c r="G974" s="4"/>
      <c r="H974" s="4"/>
      <c r="I974" s="4"/>
      <c r="J974" s="4"/>
      <c r="K974" s="4"/>
      <c r="L974" s="4"/>
      <c r="M974" s="4"/>
      <c r="N974" s="4"/>
      <c r="O974" s="4"/>
      <c r="P974" s="4"/>
      <c r="Q974" s="4"/>
      <c r="R974" s="4"/>
      <c r="S974" s="4"/>
      <c r="T974" s="4"/>
      <c r="U974" s="4"/>
      <c r="V974" s="4"/>
      <c r="W974" s="4"/>
      <c r="X974" s="4"/>
      <c r="Y974" s="4"/>
      <c r="Z974" s="4"/>
    </row>
    <row r="975" spans="1:26" ht="12.75" customHeight="1">
      <c r="A975" s="8"/>
      <c r="B975" s="9"/>
      <c r="C975" s="10"/>
      <c r="D975" s="8"/>
      <c r="E975" s="8"/>
      <c r="F975" s="4"/>
      <c r="G975" s="4"/>
      <c r="H975" s="4"/>
      <c r="I975" s="4"/>
      <c r="J975" s="4"/>
      <c r="K975" s="4"/>
      <c r="L975" s="4"/>
      <c r="M975" s="4"/>
      <c r="N975" s="4"/>
      <c r="O975" s="4"/>
      <c r="P975" s="4"/>
      <c r="Q975" s="4"/>
      <c r="R975" s="4"/>
      <c r="S975" s="4"/>
      <c r="T975" s="4"/>
      <c r="U975" s="4"/>
      <c r="V975" s="4"/>
      <c r="W975" s="4"/>
      <c r="X975" s="4"/>
      <c r="Y975" s="4"/>
      <c r="Z975" s="4"/>
    </row>
    <row r="976" spans="1:26" ht="12.75" customHeight="1">
      <c r="A976" s="8"/>
      <c r="B976" s="9"/>
      <c r="C976" s="10"/>
      <c r="D976" s="8"/>
      <c r="E976" s="8"/>
      <c r="F976" s="4"/>
      <c r="G976" s="4"/>
      <c r="H976" s="4"/>
      <c r="I976" s="4"/>
      <c r="J976" s="4"/>
      <c r="K976" s="4"/>
      <c r="L976" s="4"/>
      <c r="M976" s="4"/>
      <c r="N976" s="4"/>
      <c r="O976" s="4"/>
      <c r="P976" s="4"/>
      <c r="Q976" s="4"/>
      <c r="R976" s="4"/>
      <c r="S976" s="4"/>
      <c r="T976" s="4"/>
      <c r="U976" s="4"/>
      <c r="V976" s="4"/>
      <c r="W976" s="4"/>
      <c r="X976" s="4"/>
      <c r="Y976" s="4"/>
      <c r="Z976" s="4"/>
    </row>
    <row r="977" spans="1:26" ht="12.75" customHeight="1">
      <c r="A977" s="8"/>
      <c r="B977" s="9"/>
      <c r="C977" s="10"/>
      <c r="D977" s="8"/>
      <c r="E977" s="8"/>
      <c r="F977" s="4"/>
      <c r="G977" s="4"/>
      <c r="H977" s="4"/>
      <c r="I977" s="4"/>
      <c r="J977" s="4"/>
      <c r="K977" s="4"/>
      <c r="L977" s="4"/>
      <c r="M977" s="4"/>
      <c r="N977" s="4"/>
      <c r="O977" s="4"/>
      <c r="P977" s="4"/>
      <c r="Q977" s="4"/>
      <c r="R977" s="4"/>
      <c r="S977" s="4"/>
      <c r="T977" s="4"/>
      <c r="U977" s="4"/>
      <c r="V977" s="4"/>
      <c r="W977" s="4"/>
      <c r="X977" s="4"/>
      <c r="Y977" s="4"/>
      <c r="Z977" s="4"/>
    </row>
    <row r="978" spans="1:26" ht="12.75" customHeight="1">
      <c r="A978" s="8"/>
      <c r="B978" s="9"/>
      <c r="C978" s="10"/>
      <c r="D978" s="8"/>
      <c r="E978" s="8"/>
      <c r="F978" s="4"/>
      <c r="G978" s="4"/>
      <c r="H978" s="4"/>
      <c r="I978" s="4"/>
      <c r="J978" s="4"/>
      <c r="K978" s="4"/>
      <c r="L978" s="4"/>
      <c r="M978" s="4"/>
      <c r="N978" s="4"/>
      <c r="O978" s="4"/>
      <c r="P978" s="4"/>
      <c r="Q978" s="4"/>
      <c r="R978" s="4"/>
      <c r="S978" s="4"/>
      <c r="T978" s="4"/>
      <c r="U978" s="4"/>
      <c r="V978" s="4"/>
      <c r="W978" s="4"/>
      <c r="X978" s="4"/>
      <c r="Y978" s="4"/>
      <c r="Z978" s="4"/>
    </row>
    <row r="979" spans="1:26" ht="12.75" customHeight="1">
      <c r="A979" s="8"/>
      <c r="B979" s="9"/>
      <c r="C979" s="10"/>
      <c r="D979" s="8"/>
      <c r="E979" s="8"/>
      <c r="F979" s="4"/>
      <c r="G979" s="4"/>
      <c r="H979" s="4"/>
      <c r="I979" s="4"/>
      <c r="J979" s="4"/>
      <c r="K979" s="4"/>
      <c r="L979" s="4"/>
      <c r="M979" s="4"/>
      <c r="N979" s="4"/>
      <c r="O979" s="4"/>
      <c r="P979" s="4"/>
      <c r="Q979" s="4"/>
      <c r="R979" s="4"/>
      <c r="S979" s="4"/>
      <c r="T979" s="4"/>
      <c r="U979" s="4"/>
      <c r="V979" s="4"/>
      <c r="W979" s="4"/>
      <c r="X979" s="4"/>
      <c r="Y979" s="4"/>
      <c r="Z979" s="4"/>
    </row>
    <row r="980" spans="1:26" ht="12.75" customHeight="1">
      <c r="A980" s="8"/>
      <c r="B980" s="9"/>
      <c r="C980" s="10"/>
      <c r="D980" s="8"/>
      <c r="E980" s="8"/>
      <c r="F980" s="4"/>
      <c r="G980" s="4"/>
      <c r="H980" s="4"/>
      <c r="I980" s="4"/>
      <c r="J980" s="4"/>
      <c r="K980" s="4"/>
      <c r="L980" s="4"/>
      <c r="M980" s="4"/>
      <c r="N980" s="4"/>
      <c r="O980" s="4"/>
      <c r="P980" s="4"/>
      <c r="Q980" s="4"/>
      <c r="R980" s="4"/>
      <c r="S980" s="4"/>
      <c r="T980" s="4"/>
      <c r="U980" s="4"/>
      <c r="V980" s="4"/>
      <c r="W980" s="4"/>
      <c r="X980" s="4"/>
      <c r="Y980" s="4"/>
      <c r="Z980" s="4"/>
    </row>
    <row r="981" spans="1:26" ht="12.75" customHeight="1">
      <c r="A981" s="8"/>
      <c r="B981" s="9"/>
      <c r="C981" s="10"/>
      <c r="D981" s="8"/>
      <c r="E981" s="8"/>
      <c r="F981" s="4"/>
      <c r="G981" s="4"/>
      <c r="H981" s="4"/>
      <c r="I981" s="4"/>
      <c r="J981" s="4"/>
      <c r="K981" s="4"/>
      <c r="L981" s="4"/>
      <c r="M981" s="4"/>
      <c r="N981" s="4"/>
      <c r="O981" s="4"/>
      <c r="P981" s="4"/>
      <c r="Q981" s="4"/>
      <c r="R981" s="4"/>
      <c r="S981" s="4"/>
      <c r="T981" s="4"/>
      <c r="U981" s="4"/>
      <c r="V981" s="4"/>
      <c r="W981" s="4"/>
      <c r="X981" s="4"/>
      <c r="Y981" s="4"/>
      <c r="Z981" s="4"/>
    </row>
    <row r="982" spans="1:26" ht="12.75" customHeight="1">
      <c r="A982" s="8"/>
      <c r="B982" s="9"/>
      <c r="C982" s="10"/>
      <c r="D982" s="8"/>
      <c r="E982" s="8"/>
      <c r="F982" s="4"/>
      <c r="G982" s="4"/>
      <c r="H982" s="4"/>
      <c r="I982" s="4"/>
      <c r="J982" s="4"/>
      <c r="K982" s="4"/>
      <c r="L982" s="4"/>
      <c r="M982" s="4"/>
      <c r="N982" s="4"/>
      <c r="O982" s="4"/>
      <c r="P982" s="4"/>
      <c r="Q982" s="4"/>
      <c r="R982" s="4"/>
      <c r="S982" s="4"/>
      <c r="T982" s="4"/>
      <c r="U982" s="4"/>
      <c r="V982" s="4"/>
      <c r="W982" s="4"/>
      <c r="X982" s="4"/>
      <c r="Y982" s="4"/>
      <c r="Z982" s="4"/>
    </row>
    <row r="983" spans="1:26" ht="12.75" customHeight="1">
      <c r="A983" s="8"/>
      <c r="B983" s="9"/>
      <c r="C983" s="10"/>
      <c r="D983" s="8"/>
      <c r="E983" s="8"/>
      <c r="F983" s="4"/>
      <c r="G983" s="4"/>
      <c r="H983" s="4"/>
      <c r="I983" s="4"/>
      <c r="J983" s="4"/>
      <c r="K983" s="4"/>
      <c r="L983" s="4"/>
      <c r="M983" s="4"/>
      <c r="N983" s="4"/>
      <c r="O983" s="4"/>
      <c r="P983" s="4"/>
      <c r="Q983" s="4"/>
      <c r="R983" s="4"/>
      <c r="S983" s="4"/>
      <c r="T983" s="4"/>
      <c r="U983" s="4"/>
      <c r="V983" s="4"/>
      <c r="W983" s="4"/>
      <c r="X983" s="4"/>
      <c r="Y983" s="4"/>
      <c r="Z983" s="4"/>
    </row>
    <row r="984" spans="1:26" ht="12.75" customHeight="1">
      <c r="A984" s="8"/>
      <c r="B984" s="9"/>
      <c r="C984" s="10"/>
      <c r="D984" s="8"/>
      <c r="E984" s="8"/>
      <c r="F984" s="4"/>
      <c r="G984" s="4"/>
      <c r="H984" s="4"/>
      <c r="I984" s="4"/>
      <c r="J984" s="4"/>
      <c r="K984" s="4"/>
      <c r="L984" s="4"/>
      <c r="M984" s="4"/>
      <c r="N984" s="4"/>
      <c r="O984" s="4"/>
      <c r="P984" s="4"/>
      <c r="Q984" s="4"/>
      <c r="R984" s="4"/>
      <c r="S984" s="4"/>
      <c r="T984" s="4"/>
      <c r="U984" s="4"/>
      <c r="V984" s="4"/>
      <c r="W984" s="4"/>
      <c r="X984" s="4"/>
      <c r="Y984" s="4"/>
      <c r="Z984" s="4"/>
    </row>
    <row r="985" spans="1:26" ht="12.75" customHeight="1">
      <c r="A985" s="8"/>
      <c r="B985" s="9"/>
      <c r="C985" s="10"/>
      <c r="D985" s="8"/>
      <c r="E985" s="8"/>
      <c r="F985" s="4"/>
      <c r="G985" s="4"/>
      <c r="H985" s="4"/>
      <c r="I985" s="4"/>
      <c r="J985" s="4"/>
      <c r="K985" s="4"/>
      <c r="L985" s="4"/>
      <c r="M985" s="4"/>
      <c r="N985" s="4"/>
      <c r="O985" s="4"/>
      <c r="P985" s="4"/>
      <c r="Q985" s="4"/>
      <c r="R985" s="4"/>
      <c r="S985" s="4"/>
      <c r="T985" s="4"/>
      <c r="U985" s="4"/>
      <c r="V985" s="4"/>
      <c r="W985" s="4"/>
      <c r="X985" s="4"/>
      <c r="Y985" s="4"/>
      <c r="Z985" s="4"/>
    </row>
    <row r="986" spans="1:26" ht="12.75" customHeight="1">
      <c r="A986" s="8"/>
      <c r="B986" s="9"/>
      <c r="C986" s="10"/>
      <c r="D986" s="8"/>
      <c r="E986" s="8"/>
      <c r="F986" s="4"/>
      <c r="G986" s="4"/>
      <c r="H986" s="4"/>
      <c r="I986" s="4"/>
      <c r="J986" s="4"/>
      <c r="K986" s="4"/>
      <c r="L986" s="4"/>
      <c r="M986" s="4"/>
      <c r="N986" s="4"/>
      <c r="O986" s="4"/>
      <c r="P986" s="4"/>
      <c r="Q986" s="4"/>
      <c r="R986" s="4"/>
      <c r="S986" s="4"/>
      <c r="T986" s="4"/>
      <c r="U986" s="4"/>
      <c r="V986" s="4"/>
      <c r="W986" s="4"/>
      <c r="X986" s="4"/>
      <c r="Y986" s="4"/>
      <c r="Z986" s="4"/>
    </row>
    <row r="987" spans="1:26" ht="12.75" customHeight="1">
      <c r="A987" s="8"/>
      <c r="B987" s="9"/>
      <c r="C987" s="10"/>
      <c r="D987" s="8"/>
      <c r="E987" s="8"/>
      <c r="F987" s="4"/>
      <c r="G987" s="4"/>
      <c r="H987" s="4"/>
      <c r="I987" s="4"/>
      <c r="J987" s="4"/>
      <c r="K987" s="4"/>
      <c r="L987" s="4"/>
      <c r="M987" s="4"/>
      <c r="N987" s="4"/>
      <c r="O987" s="4"/>
      <c r="P987" s="4"/>
      <c r="Q987" s="4"/>
      <c r="R987" s="4"/>
      <c r="S987" s="4"/>
      <c r="T987" s="4"/>
      <c r="U987" s="4"/>
      <c r="V987" s="4"/>
      <c r="W987" s="4"/>
      <c r="X987" s="4"/>
      <c r="Y987" s="4"/>
      <c r="Z987" s="4"/>
    </row>
    <row r="988" spans="1:26" ht="12.75" customHeight="1">
      <c r="A988" s="8"/>
      <c r="B988" s="9"/>
      <c r="C988" s="10"/>
      <c r="D988" s="8"/>
      <c r="E988" s="8"/>
      <c r="F988" s="4"/>
      <c r="G988" s="4"/>
      <c r="H988" s="4"/>
      <c r="I988" s="4"/>
      <c r="J988" s="4"/>
      <c r="K988" s="4"/>
      <c r="L988" s="4"/>
      <c r="M988" s="4"/>
      <c r="N988" s="4"/>
      <c r="O988" s="4"/>
      <c r="P988" s="4"/>
      <c r="Q988" s="4"/>
      <c r="R988" s="4"/>
      <c r="S988" s="4"/>
      <c r="T988" s="4"/>
      <c r="U988" s="4"/>
      <c r="V988" s="4"/>
      <c r="W988" s="4"/>
      <c r="X988" s="4"/>
      <c r="Y988" s="4"/>
      <c r="Z988" s="4"/>
    </row>
    <row r="989" spans="1:26" ht="12.75" customHeight="1">
      <c r="A989" s="8"/>
      <c r="B989" s="9"/>
      <c r="C989" s="10"/>
      <c r="D989" s="8"/>
      <c r="E989" s="8"/>
      <c r="F989" s="4"/>
      <c r="G989" s="4"/>
      <c r="H989" s="4"/>
      <c r="I989" s="4"/>
      <c r="J989" s="4"/>
      <c r="K989" s="4"/>
      <c r="L989" s="4"/>
      <c r="M989" s="4"/>
      <c r="N989" s="4"/>
      <c r="O989" s="4"/>
      <c r="P989" s="4"/>
      <c r="Q989" s="4"/>
      <c r="R989" s="4"/>
      <c r="S989" s="4"/>
      <c r="T989" s="4"/>
      <c r="U989" s="4"/>
      <c r="V989" s="4"/>
      <c r="W989" s="4"/>
      <c r="X989" s="4"/>
      <c r="Y989" s="4"/>
      <c r="Z989" s="4"/>
    </row>
    <row r="990" spans="1:26" ht="12.75" customHeight="1">
      <c r="A990" s="8"/>
      <c r="B990" s="9"/>
      <c r="C990" s="10"/>
      <c r="D990" s="8"/>
      <c r="E990" s="8"/>
      <c r="F990" s="4"/>
      <c r="G990" s="4"/>
      <c r="H990" s="4"/>
      <c r="I990" s="4"/>
      <c r="J990" s="4"/>
      <c r="K990" s="4"/>
      <c r="L990" s="4"/>
      <c r="M990" s="4"/>
      <c r="N990" s="4"/>
      <c r="O990" s="4"/>
      <c r="P990" s="4"/>
      <c r="Q990" s="4"/>
      <c r="R990" s="4"/>
      <c r="S990" s="4"/>
      <c r="T990" s="4"/>
      <c r="U990" s="4"/>
      <c r="V990" s="4"/>
      <c r="W990" s="4"/>
      <c r="X990" s="4"/>
      <c r="Y990" s="4"/>
      <c r="Z990" s="4"/>
    </row>
    <row r="991" spans="1:26" ht="12.75" customHeight="1">
      <c r="A991" s="8"/>
      <c r="B991" s="9"/>
      <c r="C991" s="10"/>
      <c r="D991" s="8"/>
      <c r="E991" s="8"/>
      <c r="F991" s="4"/>
      <c r="G991" s="4"/>
      <c r="H991" s="4"/>
      <c r="I991" s="4"/>
      <c r="J991" s="4"/>
      <c r="K991" s="4"/>
      <c r="L991" s="4"/>
      <c r="M991" s="4"/>
      <c r="N991" s="4"/>
      <c r="O991" s="4"/>
      <c r="P991" s="4"/>
      <c r="Q991" s="4"/>
      <c r="R991" s="4"/>
      <c r="S991" s="4"/>
      <c r="T991" s="4"/>
      <c r="U991" s="4"/>
      <c r="V991" s="4"/>
      <c r="W991" s="4"/>
      <c r="X991" s="4"/>
      <c r="Y991" s="4"/>
      <c r="Z991" s="4"/>
    </row>
    <row r="992" spans="1:26" ht="12.75" customHeight="1">
      <c r="A992" s="8"/>
      <c r="B992" s="9"/>
      <c r="C992" s="10"/>
      <c r="D992" s="8"/>
      <c r="E992" s="8"/>
      <c r="F992" s="4"/>
      <c r="G992" s="4"/>
      <c r="H992" s="4"/>
      <c r="I992" s="4"/>
      <c r="J992" s="4"/>
      <c r="K992" s="4"/>
      <c r="L992" s="4"/>
      <c r="M992" s="4"/>
      <c r="N992" s="4"/>
      <c r="O992" s="4"/>
      <c r="P992" s="4"/>
      <c r="Q992" s="4"/>
      <c r="R992" s="4"/>
      <c r="S992" s="4"/>
      <c r="T992" s="4"/>
      <c r="U992" s="4"/>
      <c r="V992" s="4"/>
      <c r="W992" s="4"/>
      <c r="X992" s="4"/>
      <c r="Y992" s="4"/>
      <c r="Z992" s="4"/>
    </row>
    <row r="993" spans="1:26" ht="12.75" customHeight="1">
      <c r="A993" s="8"/>
      <c r="B993" s="9"/>
      <c r="C993" s="10"/>
      <c r="D993" s="8"/>
      <c r="E993" s="8"/>
      <c r="F993" s="4"/>
      <c r="G993" s="4"/>
      <c r="H993" s="4"/>
      <c r="I993" s="4"/>
      <c r="J993" s="4"/>
      <c r="K993" s="4"/>
      <c r="L993" s="4"/>
      <c r="M993" s="4"/>
      <c r="N993" s="4"/>
      <c r="O993" s="4"/>
      <c r="P993" s="4"/>
      <c r="Q993" s="4"/>
      <c r="R993" s="4"/>
      <c r="S993" s="4"/>
      <c r="T993" s="4"/>
      <c r="U993" s="4"/>
      <c r="V993" s="4"/>
      <c r="W993" s="4"/>
      <c r="X993" s="4"/>
      <c r="Y993" s="4"/>
      <c r="Z993" s="4"/>
    </row>
    <row r="994" spans="1:26" ht="12.75" customHeight="1">
      <c r="A994" s="8"/>
      <c r="B994" s="9"/>
      <c r="C994" s="10"/>
      <c r="D994" s="8"/>
      <c r="E994" s="8"/>
      <c r="F994" s="4"/>
      <c r="G994" s="4"/>
      <c r="H994" s="4"/>
      <c r="I994" s="4"/>
      <c r="J994" s="4"/>
      <c r="K994" s="4"/>
      <c r="L994" s="4"/>
      <c r="M994" s="4"/>
      <c r="N994" s="4"/>
      <c r="O994" s="4"/>
      <c r="P994" s="4"/>
      <c r="Q994" s="4"/>
      <c r="R994" s="4"/>
      <c r="S994" s="4"/>
      <c r="T994" s="4"/>
      <c r="U994" s="4"/>
      <c r="V994" s="4"/>
      <c r="W994" s="4"/>
      <c r="X994" s="4"/>
      <c r="Y994" s="4"/>
      <c r="Z994" s="4"/>
    </row>
    <row r="995" spans="1:26" ht="12.75" customHeight="1">
      <c r="A995" s="8"/>
      <c r="B995" s="9"/>
      <c r="C995" s="10"/>
      <c r="D995" s="8"/>
      <c r="E995" s="8"/>
      <c r="F995" s="4"/>
      <c r="G995" s="4"/>
      <c r="H995" s="4"/>
      <c r="I995" s="4"/>
      <c r="J995" s="4"/>
      <c r="K995" s="4"/>
      <c r="L995" s="4"/>
      <c r="M995" s="4"/>
      <c r="N995" s="4"/>
      <c r="O995" s="4"/>
      <c r="P995" s="4"/>
      <c r="Q995" s="4"/>
      <c r="R995" s="4"/>
      <c r="S995" s="4"/>
      <c r="T995" s="4"/>
      <c r="U995" s="4"/>
      <c r="V995" s="4"/>
      <c r="W995" s="4"/>
      <c r="X995" s="4"/>
      <c r="Y995" s="4"/>
      <c r="Z995" s="4"/>
    </row>
    <row r="996" spans="1:26" ht="12.75" customHeight="1">
      <c r="A996" s="8"/>
      <c r="B996" s="9"/>
      <c r="C996" s="10"/>
      <c r="D996" s="8"/>
      <c r="E996" s="8"/>
      <c r="F996" s="4"/>
      <c r="G996" s="4"/>
      <c r="H996" s="4"/>
      <c r="I996" s="4"/>
      <c r="J996" s="4"/>
      <c r="K996" s="4"/>
      <c r="L996" s="4"/>
      <c r="M996" s="4"/>
      <c r="N996" s="4"/>
      <c r="O996" s="4"/>
      <c r="P996" s="4"/>
      <c r="Q996" s="4"/>
      <c r="R996" s="4"/>
      <c r="S996" s="4"/>
      <c r="T996" s="4"/>
      <c r="U996" s="4"/>
      <c r="V996" s="4"/>
      <c r="W996" s="4"/>
      <c r="X996" s="4"/>
      <c r="Y996" s="4"/>
      <c r="Z996" s="4"/>
    </row>
    <row r="997" spans="1:26" ht="12.75" customHeight="1">
      <c r="A997" s="8"/>
      <c r="B997" s="9"/>
      <c r="C997" s="10"/>
      <c r="D997" s="8"/>
      <c r="E997" s="8"/>
      <c r="F997" s="4"/>
      <c r="G997" s="4"/>
      <c r="H997" s="4"/>
      <c r="I997" s="4"/>
      <c r="J997" s="4"/>
      <c r="K997" s="4"/>
      <c r="L997" s="4"/>
      <c r="M997" s="4"/>
      <c r="N997" s="4"/>
      <c r="O997" s="4"/>
      <c r="P997" s="4"/>
      <c r="Q997" s="4"/>
      <c r="R997" s="4"/>
      <c r="S997" s="4"/>
      <c r="T997" s="4"/>
      <c r="U997" s="4"/>
      <c r="V997" s="4"/>
      <c r="W997" s="4"/>
      <c r="X997" s="4"/>
      <c r="Y997" s="4"/>
      <c r="Z997" s="4"/>
    </row>
    <row r="998" spans="1:26" ht="12.75" customHeight="1">
      <c r="A998" s="8"/>
      <c r="B998" s="9"/>
      <c r="C998" s="10"/>
      <c r="D998" s="8"/>
      <c r="E998" s="8"/>
      <c r="F998" s="4"/>
      <c r="G998" s="4"/>
      <c r="H998" s="4"/>
      <c r="I998" s="4"/>
      <c r="J998" s="4"/>
      <c r="K998" s="4"/>
      <c r="L998" s="4"/>
      <c r="M998" s="4"/>
      <c r="N998" s="4"/>
      <c r="O998" s="4"/>
      <c r="P998" s="4"/>
      <c r="Q998" s="4"/>
      <c r="R998" s="4"/>
      <c r="S998" s="4"/>
      <c r="T998" s="4"/>
      <c r="U998" s="4"/>
      <c r="V998" s="4"/>
      <c r="W998" s="4"/>
      <c r="X998" s="4"/>
      <c r="Y998" s="4"/>
      <c r="Z998" s="4"/>
    </row>
    <row r="999" spans="1:26" ht="12.75" customHeight="1">
      <c r="A999" s="8"/>
      <c r="B999" s="9"/>
      <c r="C999" s="10"/>
      <c r="D999" s="8"/>
      <c r="E999" s="8"/>
      <c r="F999" s="4"/>
      <c r="G999" s="4"/>
      <c r="H999" s="4"/>
      <c r="I999" s="4"/>
      <c r="J999" s="4"/>
      <c r="K999" s="4"/>
      <c r="L999" s="4"/>
      <c r="M999" s="4"/>
      <c r="N999" s="4"/>
      <c r="O999" s="4"/>
      <c r="P999" s="4"/>
      <c r="Q999" s="4"/>
      <c r="R999" s="4"/>
      <c r="S999" s="4"/>
      <c r="T999" s="4"/>
      <c r="U999" s="4"/>
      <c r="V999" s="4"/>
      <c r="W999" s="4"/>
      <c r="X999" s="4"/>
      <c r="Y999" s="4"/>
      <c r="Z999" s="4"/>
    </row>
    <row r="1000" spans="1:26" ht="12.75" customHeight="1">
      <c r="A1000" s="8"/>
      <c r="B1000" s="9"/>
      <c r="C1000" s="10"/>
      <c r="D1000" s="8"/>
      <c r="E1000" s="8"/>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c r="D1001" s="8"/>
      <c r="E1001" s="8"/>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c r="D1002" s="8"/>
      <c r="E1002" s="8"/>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c r="D1003" s="8"/>
      <c r="E1003" s="8"/>
      <c r="F1003" s="4"/>
      <c r="G1003" s="4"/>
      <c r="H1003" s="4"/>
      <c r="I1003" s="4"/>
      <c r="J1003" s="4"/>
      <c r="K1003" s="4"/>
      <c r="L1003" s="4"/>
      <c r="M1003" s="4"/>
      <c r="N1003" s="4"/>
      <c r="O1003" s="4"/>
      <c r="P1003" s="4"/>
      <c r="Q1003" s="4"/>
      <c r="R1003" s="4"/>
      <c r="S1003" s="4"/>
      <c r="T1003" s="4"/>
      <c r="U1003" s="4"/>
      <c r="V1003" s="4"/>
      <c r="W1003" s="4"/>
      <c r="X1003" s="4"/>
      <c r="Y1003" s="4"/>
      <c r="Z1003" s="4"/>
    </row>
  </sheetData>
  <mergeCells count="5">
    <mergeCell ref="B4:C4"/>
    <mergeCell ref="B5:C5"/>
    <mergeCell ref="B6:C6"/>
    <mergeCell ref="B7:C7"/>
    <mergeCell ref="B8:C8"/>
  </mergeCells>
  <hyperlinks>
    <hyperlink ref="B4" r:id="rId1" xr:uid="{00000000-0004-0000-0200-000000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73"/>
  <sheetViews>
    <sheetView topLeftCell="A64" zoomScale="78" zoomScaleNormal="78" workbookViewId="0">
      <selection activeCell="E68" sqref="E68"/>
    </sheetView>
  </sheetViews>
  <sheetFormatPr defaultColWidth="14.42578125" defaultRowHeight="15"/>
  <cols>
    <col min="1" max="1" width="4.42578125" style="170" customWidth="1"/>
    <col min="2" max="2" width="16.85546875" style="315" customWidth="1"/>
    <col min="3" max="3" width="12.7109375" style="342" customWidth="1"/>
    <col min="4" max="4" width="20" style="232" customWidth="1"/>
    <col min="5" max="5" width="21" style="369" customWidth="1"/>
    <col min="6" max="6" width="41.85546875" style="224" customWidth="1"/>
    <col min="7" max="7" width="29.7109375" style="224" customWidth="1"/>
    <col min="8" max="8" width="26" style="273" customWidth="1"/>
    <col min="9" max="9" width="15.140625" style="275" customWidth="1"/>
    <col min="10" max="10" width="18.140625" style="170" customWidth="1"/>
    <col min="11" max="11" width="18.85546875" style="170" customWidth="1"/>
    <col min="12" max="12" width="15.85546875" style="170" customWidth="1"/>
    <col min="13" max="13" width="19.140625" style="170" customWidth="1"/>
    <col min="14" max="14" width="95.85546875" style="170" customWidth="1"/>
    <col min="15" max="15" width="67.85546875" style="170" customWidth="1"/>
    <col min="16" max="30" width="12.85546875" style="170" customWidth="1"/>
    <col min="31" max="16384" width="14.42578125" style="170"/>
  </cols>
  <sheetData>
    <row r="1" spans="1:30" ht="15.75" thickBot="1">
      <c r="A1" s="461" t="s">
        <v>15</v>
      </c>
      <c r="B1" s="446"/>
      <c r="C1" s="329" t="s">
        <v>151</v>
      </c>
      <c r="D1" s="225" t="s">
        <v>16</v>
      </c>
      <c r="E1" s="352"/>
      <c r="F1" s="207">
        <v>46298</v>
      </c>
      <c r="G1" s="225" t="s">
        <v>17</v>
      </c>
      <c r="H1" s="249" t="str">
        <f>H2</f>
        <v xml:space="preserve"> - -</v>
      </c>
      <c r="I1" s="146"/>
      <c r="J1" s="42"/>
      <c r="K1" s="169"/>
      <c r="L1" s="43"/>
      <c r="M1" s="462" t="s">
        <v>18</v>
      </c>
      <c r="N1" s="463"/>
      <c r="O1" s="43"/>
      <c r="P1" s="43"/>
      <c r="Q1" s="43"/>
      <c r="R1" s="43"/>
      <c r="S1" s="43"/>
      <c r="T1" s="43"/>
      <c r="U1" s="43"/>
      <c r="V1" s="43"/>
      <c r="W1" s="43"/>
      <c r="X1" s="43"/>
      <c r="Y1" s="43"/>
      <c r="Z1" s="43"/>
      <c r="AA1" s="43"/>
      <c r="AB1" s="43"/>
      <c r="AC1" s="43"/>
      <c r="AD1" s="43"/>
    </row>
    <row r="2" spans="1:30" ht="29.25" thickBot="1">
      <c r="A2" s="461" t="s">
        <v>19</v>
      </c>
      <c r="B2" s="446"/>
      <c r="C2" s="330" t="s">
        <v>154</v>
      </c>
      <c r="D2" s="226" t="s">
        <v>20</v>
      </c>
      <c r="E2" s="353"/>
      <c r="F2" s="208">
        <v>46359</v>
      </c>
      <c r="G2" s="226" t="s">
        <v>21</v>
      </c>
      <c r="H2" s="250" t="s">
        <v>22</v>
      </c>
      <c r="I2" s="146"/>
      <c r="J2" s="42"/>
      <c r="K2" s="169"/>
      <c r="L2" s="43"/>
      <c r="M2" s="44" t="s">
        <v>23</v>
      </c>
      <c r="N2" s="45">
        <f>COUNTIF(M18:M24, "Passed")</f>
        <v>0</v>
      </c>
      <c r="O2" s="43"/>
      <c r="P2" s="43"/>
      <c r="Q2" s="43"/>
      <c r="R2" s="43"/>
      <c r="S2" s="43"/>
      <c r="T2" s="43"/>
      <c r="U2" s="43"/>
      <c r="V2" s="43"/>
      <c r="W2" s="43"/>
      <c r="X2" s="43"/>
      <c r="Y2" s="43"/>
      <c r="Z2" s="43"/>
      <c r="AA2" s="43"/>
      <c r="AB2" s="43"/>
      <c r="AC2" s="43"/>
      <c r="AD2" s="43"/>
    </row>
    <row r="3" spans="1:30" ht="30.75" thickBot="1">
      <c r="A3" s="461" t="s">
        <v>24</v>
      </c>
      <c r="B3" s="446"/>
      <c r="C3" s="330"/>
      <c r="D3" s="226" t="s">
        <v>25</v>
      </c>
      <c r="E3" s="353"/>
      <c r="F3" s="209" t="s">
        <v>132</v>
      </c>
      <c r="G3" s="226" t="s">
        <v>26</v>
      </c>
      <c r="H3" s="250" t="s">
        <v>27</v>
      </c>
      <c r="I3" s="146"/>
      <c r="J3" s="42"/>
      <c r="K3" s="169"/>
      <c r="L3" s="43"/>
      <c r="M3" s="46" t="s">
        <v>28</v>
      </c>
      <c r="N3" s="45">
        <f>COUNTIF(M18:M472, "Failed")</f>
        <v>0</v>
      </c>
      <c r="O3" s="43"/>
      <c r="P3" s="43"/>
      <c r="Q3" s="43"/>
      <c r="R3" s="43"/>
      <c r="S3" s="43"/>
      <c r="T3" s="43"/>
      <c r="U3" s="43"/>
      <c r="V3" s="43"/>
      <c r="W3" s="43"/>
      <c r="X3" s="43"/>
      <c r="Y3" s="43"/>
      <c r="Z3" s="43"/>
      <c r="AA3" s="43"/>
      <c r="AB3" s="43"/>
      <c r="AC3" s="43"/>
      <c r="AD3" s="43"/>
    </row>
    <row r="4" spans="1:30" ht="30.75" thickBot="1">
      <c r="A4" s="461" t="s">
        <v>29</v>
      </c>
      <c r="B4" s="446"/>
      <c r="C4" s="330"/>
      <c r="D4" s="226" t="s">
        <v>30</v>
      </c>
      <c r="E4" s="353"/>
      <c r="F4" s="209" t="s">
        <v>131</v>
      </c>
      <c r="G4" s="226" t="s">
        <v>31</v>
      </c>
      <c r="H4" s="250" t="s">
        <v>27</v>
      </c>
      <c r="I4" s="146"/>
      <c r="J4" s="42"/>
      <c r="K4" s="169"/>
      <c r="L4" s="43"/>
      <c r="M4" s="47" t="s">
        <v>32</v>
      </c>
      <c r="N4" s="45">
        <f>COUNTIF(M7:M472, "Not Executed")</f>
        <v>0</v>
      </c>
      <c r="O4" s="43"/>
      <c r="P4" s="43"/>
      <c r="Q4" s="43"/>
      <c r="R4" s="43"/>
      <c r="S4" s="43"/>
      <c r="T4" s="43"/>
      <c r="U4" s="43"/>
      <c r="V4" s="43"/>
      <c r="W4" s="43"/>
      <c r="X4" s="43"/>
      <c r="Y4" s="43"/>
      <c r="Z4" s="43"/>
      <c r="AA4" s="43"/>
      <c r="AB4" s="43"/>
      <c r="AC4" s="43"/>
      <c r="AD4" s="43"/>
    </row>
    <row r="5" spans="1:30" ht="13.5" thickBot="1">
      <c r="A5" s="445" t="s">
        <v>33</v>
      </c>
      <c r="B5" s="446"/>
      <c r="C5" s="447" t="s">
        <v>34</v>
      </c>
      <c r="D5" s="448"/>
      <c r="E5" s="449"/>
      <c r="F5" s="448"/>
      <c r="G5" s="448"/>
      <c r="H5" s="446"/>
      <c r="I5" s="276"/>
      <c r="J5" s="48"/>
      <c r="K5" s="171"/>
      <c r="L5" s="49"/>
      <c r="M5" s="50" t="s">
        <v>35</v>
      </c>
      <c r="N5" s="51">
        <f>COUNTIF(M7:M472, "Out of Scope")</f>
        <v>0</v>
      </c>
      <c r="O5" s="49"/>
      <c r="P5" s="49"/>
      <c r="Q5" s="49"/>
      <c r="R5" s="49"/>
      <c r="S5" s="49"/>
      <c r="T5" s="49"/>
      <c r="U5" s="49"/>
      <c r="V5" s="49"/>
      <c r="W5" s="49"/>
      <c r="X5" s="49"/>
      <c r="Y5" s="49"/>
      <c r="Z5" s="49"/>
      <c r="AA5" s="49"/>
      <c r="AB5" s="49"/>
      <c r="AC5" s="49"/>
      <c r="AD5" s="49"/>
    </row>
    <row r="6" spans="1:30">
      <c r="A6" s="172"/>
      <c r="B6" s="305"/>
      <c r="C6" s="331"/>
      <c r="E6" s="210"/>
      <c r="F6" s="210"/>
      <c r="G6" s="227"/>
      <c r="H6" s="251"/>
      <c r="I6" s="146"/>
      <c r="J6" s="42"/>
      <c r="K6" s="169"/>
      <c r="L6" s="43"/>
      <c r="M6" s="52" t="s">
        <v>36</v>
      </c>
      <c r="N6" s="53">
        <f>SUM(N2:N5)</f>
        <v>0</v>
      </c>
      <c r="O6" s="43"/>
      <c r="P6" s="43"/>
      <c r="Q6" s="43"/>
      <c r="R6" s="43"/>
      <c r="S6" s="43"/>
      <c r="T6" s="43"/>
      <c r="U6" s="43"/>
      <c r="V6" s="43"/>
      <c r="W6" s="43"/>
      <c r="X6" s="43"/>
      <c r="Y6" s="43"/>
      <c r="Z6" s="43"/>
      <c r="AA6" s="43"/>
      <c r="AB6" s="43"/>
      <c r="AC6" s="43"/>
      <c r="AD6" s="43"/>
    </row>
    <row r="7" spans="1:30" ht="32.25" thickBot="1">
      <c r="A7" s="54" t="s">
        <v>37</v>
      </c>
      <c r="B7" s="306" t="s">
        <v>38</v>
      </c>
      <c r="C7" s="332" t="s">
        <v>133</v>
      </c>
      <c r="D7" s="211" t="s">
        <v>39</v>
      </c>
      <c r="E7" s="354" t="s">
        <v>134</v>
      </c>
      <c r="F7" s="211" t="s">
        <v>40</v>
      </c>
      <c r="G7" s="211" t="s">
        <v>41</v>
      </c>
      <c r="H7" s="252" t="s">
        <v>42</v>
      </c>
      <c r="I7" s="277" t="s">
        <v>43</v>
      </c>
      <c r="J7" s="55" t="s">
        <v>45</v>
      </c>
      <c r="K7" s="55" t="s">
        <v>44</v>
      </c>
      <c r="L7" s="55" t="s">
        <v>46</v>
      </c>
      <c r="M7" s="173"/>
      <c r="N7" s="173"/>
      <c r="O7" s="173"/>
      <c r="P7" s="173"/>
      <c r="Q7" s="173"/>
      <c r="R7" s="173"/>
      <c r="S7" s="173"/>
      <c r="T7" s="173"/>
      <c r="U7" s="173"/>
      <c r="V7" s="173"/>
      <c r="W7" s="173"/>
      <c r="X7" s="173"/>
      <c r="Y7" s="173"/>
      <c r="Z7" s="173"/>
      <c r="AA7" s="173"/>
      <c r="AB7" s="173"/>
    </row>
    <row r="8" spans="1:30" s="200" customFormat="1" ht="114.75" thickBot="1">
      <c r="A8" s="61">
        <v>1</v>
      </c>
      <c r="B8" s="458" t="s">
        <v>153</v>
      </c>
      <c r="C8" s="456" t="s">
        <v>145</v>
      </c>
      <c r="D8" s="295" t="s">
        <v>232</v>
      </c>
      <c r="E8" s="203" t="s">
        <v>327</v>
      </c>
      <c r="F8" s="168" t="s">
        <v>137</v>
      </c>
      <c r="G8" s="168" t="s">
        <v>47</v>
      </c>
      <c r="H8" s="248" t="s">
        <v>233</v>
      </c>
      <c r="I8" s="274"/>
      <c r="J8" s="175" t="s">
        <v>48</v>
      </c>
      <c r="K8" s="65"/>
      <c r="L8" s="198"/>
      <c r="M8" s="199"/>
      <c r="N8" s="199"/>
      <c r="O8" s="199"/>
      <c r="P8" s="199"/>
      <c r="Q8" s="199"/>
      <c r="R8" s="199"/>
      <c r="S8" s="199"/>
      <c r="T8" s="199"/>
      <c r="U8" s="199"/>
      <c r="V8" s="199"/>
      <c r="W8" s="199"/>
      <c r="X8" s="199"/>
      <c r="Y8" s="199"/>
      <c r="Z8" s="199"/>
      <c r="AA8" s="199"/>
      <c r="AB8" s="199"/>
    </row>
    <row r="9" spans="1:30" s="200" customFormat="1" ht="114.75" thickBot="1">
      <c r="A9" s="61">
        <v>2</v>
      </c>
      <c r="B9" s="459"/>
      <c r="C9" s="451"/>
      <c r="D9" s="295" t="s">
        <v>234</v>
      </c>
      <c r="E9" s="203" t="s">
        <v>328</v>
      </c>
      <c r="F9" s="168" t="s">
        <v>146</v>
      </c>
      <c r="G9" s="168" t="s">
        <v>47</v>
      </c>
      <c r="H9" s="248" t="s">
        <v>236</v>
      </c>
      <c r="I9" s="274"/>
      <c r="J9" s="175" t="s">
        <v>48</v>
      </c>
      <c r="K9" s="65"/>
      <c r="L9" s="198"/>
      <c r="M9" s="199"/>
      <c r="N9" s="199"/>
      <c r="O9" s="199"/>
      <c r="P9" s="199"/>
      <c r="Q9" s="199"/>
      <c r="R9" s="199"/>
      <c r="S9" s="199"/>
      <c r="T9" s="199"/>
      <c r="U9" s="199"/>
      <c r="V9" s="199"/>
      <c r="W9" s="199"/>
      <c r="X9" s="199"/>
      <c r="Y9" s="199"/>
      <c r="Z9" s="199"/>
      <c r="AA9" s="199"/>
      <c r="AB9" s="199"/>
    </row>
    <row r="10" spans="1:30" s="200" customFormat="1" ht="114.75" thickBot="1">
      <c r="A10" s="61">
        <v>3</v>
      </c>
      <c r="B10" s="459"/>
      <c r="C10" s="451"/>
      <c r="D10" s="295" t="s">
        <v>247</v>
      </c>
      <c r="E10" s="203" t="s">
        <v>327</v>
      </c>
      <c r="F10" s="168" t="s">
        <v>146</v>
      </c>
      <c r="G10" s="168" t="s">
        <v>47</v>
      </c>
      <c r="H10" s="248" t="s">
        <v>246</v>
      </c>
      <c r="I10" s="274"/>
      <c r="J10" s="175" t="s">
        <v>48</v>
      </c>
      <c r="K10" s="65"/>
      <c r="L10" s="198"/>
      <c r="M10" s="199"/>
      <c r="N10" s="199"/>
      <c r="O10" s="199"/>
      <c r="P10" s="199"/>
      <c r="Q10" s="199"/>
      <c r="R10" s="199"/>
      <c r="S10" s="199"/>
      <c r="T10" s="199"/>
      <c r="U10" s="199"/>
      <c r="V10" s="199"/>
      <c r="W10" s="199"/>
      <c r="X10" s="199"/>
      <c r="Y10" s="199"/>
      <c r="Z10" s="199"/>
      <c r="AA10" s="199"/>
      <c r="AB10" s="199"/>
    </row>
    <row r="11" spans="1:30" s="200" customFormat="1" ht="114.75" thickBot="1">
      <c r="A11" s="61">
        <v>4</v>
      </c>
      <c r="B11" s="459"/>
      <c r="C11" s="451"/>
      <c r="D11" s="295" t="s">
        <v>248</v>
      </c>
      <c r="E11" s="203" t="s">
        <v>327</v>
      </c>
      <c r="F11" s="168" t="s">
        <v>238</v>
      </c>
      <c r="G11" s="168" t="s">
        <v>253</v>
      </c>
      <c r="H11" s="248" t="s">
        <v>237</v>
      </c>
      <c r="I11" s="327" t="s">
        <v>240</v>
      </c>
      <c r="J11" s="175" t="s">
        <v>140</v>
      </c>
      <c r="K11" s="65"/>
      <c r="L11" s="198"/>
      <c r="M11" s="199"/>
      <c r="N11" s="199"/>
      <c r="O11" s="199"/>
      <c r="P11" s="199"/>
      <c r="Q11" s="199"/>
      <c r="R11" s="199"/>
      <c r="S11" s="199"/>
      <c r="T11" s="199"/>
      <c r="U11" s="199"/>
      <c r="V11" s="199"/>
      <c r="W11" s="199"/>
      <c r="X11" s="199"/>
      <c r="Y11" s="199"/>
      <c r="Z11" s="199"/>
      <c r="AA11" s="199"/>
      <c r="AB11" s="199"/>
    </row>
    <row r="12" spans="1:30" s="200" customFormat="1" ht="114.75" thickBot="1">
      <c r="A12" s="61">
        <v>5</v>
      </c>
      <c r="B12" s="459"/>
      <c r="C12" s="451"/>
      <c r="D12" s="295" t="s">
        <v>249</v>
      </c>
      <c r="E12" s="203" t="s">
        <v>327</v>
      </c>
      <c r="F12" s="168" t="s">
        <v>146</v>
      </c>
      <c r="G12" s="168" t="s">
        <v>47</v>
      </c>
      <c r="H12" s="248" t="s">
        <v>49</v>
      </c>
      <c r="I12" s="274"/>
      <c r="J12" s="175" t="s">
        <v>48</v>
      </c>
      <c r="K12" s="65"/>
      <c r="L12" s="198"/>
      <c r="M12" s="199"/>
      <c r="N12" s="199"/>
      <c r="O12" s="199"/>
      <c r="P12" s="199"/>
      <c r="Q12" s="199"/>
      <c r="R12" s="199"/>
      <c r="S12" s="199"/>
      <c r="T12" s="199"/>
      <c r="U12" s="199"/>
      <c r="V12" s="199"/>
      <c r="W12" s="199"/>
      <c r="X12" s="199"/>
      <c r="Y12" s="199"/>
      <c r="Z12" s="199"/>
      <c r="AA12" s="199"/>
      <c r="AB12" s="199"/>
    </row>
    <row r="13" spans="1:30" s="200" customFormat="1" ht="114.75" thickBot="1">
      <c r="A13" s="61">
        <v>6</v>
      </c>
      <c r="B13" s="459"/>
      <c r="C13" s="456" t="s">
        <v>147</v>
      </c>
      <c r="D13" s="295" t="s">
        <v>244</v>
      </c>
      <c r="E13" s="203" t="s">
        <v>327</v>
      </c>
      <c r="F13" s="168" t="s">
        <v>137</v>
      </c>
      <c r="G13" s="168" t="s">
        <v>47</v>
      </c>
      <c r="H13" s="248" t="s">
        <v>245</v>
      </c>
      <c r="I13" s="274"/>
      <c r="J13" s="175" t="s">
        <v>48</v>
      </c>
      <c r="K13" s="65"/>
      <c r="L13" s="198"/>
      <c r="M13" s="199"/>
      <c r="N13" s="199"/>
      <c r="O13" s="199"/>
      <c r="P13" s="199"/>
      <c r="Q13" s="199"/>
      <c r="R13" s="199"/>
      <c r="S13" s="199"/>
      <c r="T13" s="199"/>
      <c r="U13" s="199"/>
      <c r="V13" s="199"/>
      <c r="W13" s="199"/>
      <c r="X13" s="199"/>
      <c r="Y13" s="199"/>
      <c r="Z13" s="199"/>
      <c r="AA13" s="199"/>
      <c r="AB13" s="199"/>
    </row>
    <row r="14" spans="1:30" s="200" customFormat="1" ht="114.75" thickBot="1">
      <c r="A14" s="61">
        <v>7</v>
      </c>
      <c r="B14" s="459"/>
      <c r="C14" s="451"/>
      <c r="D14" s="295" t="s">
        <v>234</v>
      </c>
      <c r="E14" s="203" t="s">
        <v>327</v>
      </c>
      <c r="F14" s="168" t="s">
        <v>146</v>
      </c>
      <c r="G14" s="168" t="s">
        <v>47</v>
      </c>
      <c r="H14" s="248" t="s">
        <v>250</v>
      </c>
      <c r="I14" s="274"/>
      <c r="J14" s="175" t="s">
        <v>48</v>
      </c>
      <c r="K14" s="65"/>
      <c r="L14" s="198"/>
      <c r="M14" s="199"/>
      <c r="N14" s="199"/>
      <c r="O14" s="199"/>
      <c r="P14" s="199"/>
      <c r="Q14" s="199"/>
      <c r="R14" s="199"/>
      <c r="S14" s="199"/>
      <c r="T14" s="199"/>
      <c r="U14" s="199"/>
      <c r="V14" s="199"/>
      <c r="W14" s="199"/>
      <c r="X14" s="199"/>
      <c r="Y14" s="199"/>
      <c r="Z14" s="199"/>
      <c r="AA14" s="199"/>
      <c r="AB14" s="199"/>
    </row>
    <row r="15" spans="1:30" s="200" customFormat="1" ht="114.75" thickBot="1">
      <c r="A15" s="61">
        <v>8</v>
      </c>
      <c r="B15" s="459"/>
      <c r="C15" s="451"/>
      <c r="D15" s="295" t="s">
        <v>252</v>
      </c>
      <c r="E15" s="203" t="s">
        <v>327</v>
      </c>
      <c r="F15" s="168" t="s">
        <v>146</v>
      </c>
      <c r="G15" s="168" t="s">
        <v>47</v>
      </c>
      <c r="H15" s="248" t="s">
        <v>251</v>
      </c>
      <c r="I15" s="274"/>
      <c r="J15" s="175" t="s">
        <v>48</v>
      </c>
      <c r="K15" s="65"/>
      <c r="L15" s="198"/>
      <c r="M15" s="199"/>
      <c r="N15" s="199"/>
      <c r="O15" s="199"/>
      <c r="P15" s="199"/>
      <c r="Q15" s="199"/>
      <c r="R15" s="199"/>
      <c r="S15" s="199"/>
      <c r="T15" s="199"/>
      <c r="U15" s="199"/>
      <c r="V15" s="199"/>
      <c r="W15" s="199"/>
      <c r="X15" s="199"/>
      <c r="Y15" s="199"/>
      <c r="Z15" s="199"/>
      <c r="AA15" s="199"/>
      <c r="AB15" s="199"/>
    </row>
    <row r="16" spans="1:30" s="200" customFormat="1" ht="114.75" thickBot="1">
      <c r="A16" s="61">
        <v>9</v>
      </c>
      <c r="B16" s="459"/>
      <c r="C16" s="451"/>
      <c r="D16" s="295" t="s">
        <v>248</v>
      </c>
      <c r="E16" s="203" t="s">
        <v>327</v>
      </c>
      <c r="F16" s="168" t="s">
        <v>238</v>
      </c>
      <c r="G16" s="168" t="s">
        <v>239</v>
      </c>
      <c r="H16" s="248" t="s">
        <v>254</v>
      </c>
      <c r="I16" s="274"/>
      <c r="J16" s="175" t="s">
        <v>65</v>
      </c>
      <c r="K16" s="65"/>
      <c r="L16" s="198"/>
      <c r="M16" s="199"/>
      <c r="N16" s="199"/>
      <c r="O16" s="199"/>
      <c r="P16" s="199"/>
      <c r="Q16" s="199"/>
      <c r="R16" s="199"/>
      <c r="S16" s="199"/>
      <c r="T16" s="199"/>
      <c r="U16" s="199"/>
      <c r="V16" s="199"/>
      <c r="W16" s="199"/>
      <c r="X16" s="199"/>
      <c r="Y16" s="199"/>
      <c r="Z16" s="199"/>
      <c r="AA16" s="199"/>
      <c r="AB16" s="199"/>
    </row>
    <row r="17" spans="1:30" s="200" customFormat="1" ht="114.75" thickBot="1">
      <c r="A17" s="61">
        <v>10</v>
      </c>
      <c r="B17" s="459"/>
      <c r="C17" s="457"/>
      <c r="D17" s="295" t="s">
        <v>255</v>
      </c>
      <c r="E17" s="203" t="s">
        <v>327</v>
      </c>
      <c r="F17" s="168" t="s">
        <v>138</v>
      </c>
      <c r="G17" s="168" t="s">
        <v>47</v>
      </c>
      <c r="H17" s="248" t="s">
        <v>49</v>
      </c>
      <c r="I17" s="274"/>
      <c r="J17" s="175" t="s">
        <v>48</v>
      </c>
      <c r="K17" s="65"/>
      <c r="L17" s="198"/>
      <c r="M17" s="199"/>
      <c r="N17" s="199"/>
      <c r="O17" s="199"/>
      <c r="P17" s="199"/>
      <c r="Q17" s="199"/>
      <c r="R17" s="199"/>
      <c r="S17" s="199"/>
      <c r="T17" s="199"/>
      <c r="U17" s="199"/>
      <c r="V17" s="199"/>
      <c r="W17" s="199"/>
      <c r="X17" s="199"/>
      <c r="Y17" s="199"/>
      <c r="Z17" s="199"/>
      <c r="AA17" s="199"/>
      <c r="AB17" s="199"/>
    </row>
    <row r="18" spans="1:30" ht="114.75" thickBot="1">
      <c r="A18" s="174">
        <v>11</v>
      </c>
      <c r="B18" s="459"/>
      <c r="C18" s="453" t="s">
        <v>152</v>
      </c>
      <c r="D18" s="204" t="s">
        <v>256</v>
      </c>
      <c r="E18" s="203" t="s">
        <v>327</v>
      </c>
      <c r="F18" s="57" t="s">
        <v>135</v>
      </c>
      <c r="G18" s="57" t="s">
        <v>47</v>
      </c>
      <c r="H18" s="253" t="s">
        <v>259</v>
      </c>
      <c r="I18" s="278"/>
      <c r="J18" s="175" t="s">
        <v>48</v>
      </c>
      <c r="K18" s="60"/>
      <c r="L18" s="177"/>
      <c r="M18" s="177"/>
      <c r="N18" s="177"/>
      <c r="O18" s="177"/>
      <c r="P18" s="177"/>
      <c r="Q18" s="177"/>
      <c r="R18" s="177"/>
      <c r="S18" s="177"/>
      <c r="T18" s="176"/>
      <c r="U18" s="176"/>
      <c r="V18" s="176"/>
      <c r="W18" s="176"/>
      <c r="X18" s="176"/>
      <c r="Y18" s="176"/>
      <c r="Z18" s="176"/>
      <c r="AA18" s="176"/>
      <c r="AB18" s="176"/>
    </row>
    <row r="19" spans="1:30" ht="114.75" thickBot="1">
      <c r="A19" s="174">
        <v>12</v>
      </c>
      <c r="B19" s="459"/>
      <c r="C19" s="454"/>
      <c r="D19" s="205" t="s">
        <v>257</v>
      </c>
      <c r="E19" s="203" t="s">
        <v>327</v>
      </c>
      <c r="F19" s="57" t="s">
        <v>136</v>
      </c>
      <c r="G19" s="57" t="s">
        <v>47</v>
      </c>
      <c r="H19" s="253" t="s">
        <v>172</v>
      </c>
      <c r="I19" s="278"/>
      <c r="J19" s="175" t="s">
        <v>48</v>
      </c>
      <c r="K19" s="60"/>
      <c r="L19" s="177"/>
      <c r="M19" s="177"/>
      <c r="N19" s="177"/>
      <c r="O19" s="177"/>
      <c r="P19" s="177"/>
      <c r="Q19" s="177"/>
      <c r="R19" s="177"/>
      <c r="S19" s="177"/>
      <c r="T19" s="176"/>
      <c r="U19" s="176"/>
      <c r="V19" s="176"/>
      <c r="W19" s="176"/>
      <c r="X19" s="176"/>
      <c r="Y19" s="176"/>
      <c r="Z19" s="176"/>
      <c r="AA19" s="176"/>
      <c r="AB19" s="176"/>
    </row>
    <row r="20" spans="1:30" ht="114.75" thickBot="1">
      <c r="A20" s="174">
        <v>13</v>
      </c>
      <c r="B20" s="459"/>
      <c r="C20" s="454"/>
      <c r="D20" s="206" t="s">
        <v>258</v>
      </c>
      <c r="E20" s="203" t="s">
        <v>327</v>
      </c>
      <c r="F20" s="212" t="s">
        <v>136</v>
      </c>
      <c r="G20" s="168" t="s">
        <v>47</v>
      </c>
      <c r="H20" s="254" t="s">
        <v>260</v>
      </c>
      <c r="I20" s="279"/>
      <c r="J20" s="175" t="s">
        <v>48</v>
      </c>
      <c r="K20" s="63"/>
      <c r="L20" s="62"/>
      <c r="M20" s="67"/>
      <c r="N20" s="61"/>
      <c r="O20" s="61"/>
      <c r="P20" s="61"/>
      <c r="Q20" s="61"/>
      <c r="R20" s="61"/>
      <c r="S20" s="61"/>
      <c r="T20" s="61"/>
      <c r="U20" s="65"/>
      <c r="V20" s="65"/>
      <c r="W20" s="65"/>
      <c r="X20" s="65"/>
      <c r="Y20" s="65"/>
      <c r="Z20" s="65"/>
      <c r="AA20" s="65"/>
      <c r="AB20" s="65"/>
      <c r="AC20" s="65"/>
    </row>
    <row r="21" spans="1:30" ht="114.75" thickBot="1">
      <c r="A21" s="328">
        <v>14</v>
      </c>
      <c r="B21" s="459"/>
      <c r="C21" s="454"/>
      <c r="D21" s="206" t="s">
        <v>261</v>
      </c>
      <c r="E21" s="203" t="s">
        <v>327</v>
      </c>
      <c r="F21" s="212" t="s">
        <v>136</v>
      </c>
      <c r="G21" s="168" t="s">
        <v>47</v>
      </c>
      <c r="H21" s="254" t="s">
        <v>262</v>
      </c>
      <c r="I21" s="279"/>
      <c r="J21" s="175" t="s">
        <v>48</v>
      </c>
      <c r="K21" s="63"/>
      <c r="L21" s="62"/>
      <c r="M21" s="67"/>
      <c r="N21" s="61"/>
      <c r="O21" s="61"/>
      <c r="P21" s="61"/>
      <c r="Q21" s="61"/>
      <c r="R21" s="61"/>
      <c r="S21" s="61"/>
      <c r="T21" s="61"/>
      <c r="U21" s="65"/>
      <c r="V21" s="65"/>
      <c r="W21" s="65"/>
      <c r="X21" s="65"/>
      <c r="Y21" s="65"/>
      <c r="Z21" s="65"/>
      <c r="AA21" s="65"/>
      <c r="AB21" s="65"/>
      <c r="AC21" s="65"/>
    </row>
    <row r="22" spans="1:30" ht="114.75" thickBot="1">
      <c r="A22" s="174">
        <v>15</v>
      </c>
      <c r="B22" s="459"/>
      <c r="C22" s="454"/>
      <c r="D22" s="201" t="s">
        <v>263</v>
      </c>
      <c r="E22" s="203" t="s">
        <v>327</v>
      </c>
      <c r="F22" s="168" t="s">
        <v>136</v>
      </c>
      <c r="G22" s="168" t="s">
        <v>47</v>
      </c>
      <c r="H22" s="254" t="s">
        <v>49</v>
      </c>
      <c r="I22" s="279"/>
      <c r="J22" s="175" t="s">
        <v>48</v>
      </c>
      <c r="K22" s="63"/>
      <c r="L22" s="62"/>
      <c r="M22" s="62"/>
      <c r="N22" s="61"/>
      <c r="O22" s="61"/>
      <c r="P22" s="61"/>
      <c r="Q22" s="61"/>
      <c r="R22" s="61"/>
      <c r="S22" s="61"/>
      <c r="T22" s="61"/>
      <c r="U22" s="65"/>
      <c r="V22" s="65"/>
      <c r="W22" s="65"/>
      <c r="X22" s="65"/>
      <c r="Y22" s="65"/>
      <c r="Z22" s="65"/>
      <c r="AA22" s="65"/>
      <c r="AB22" s="65"/>
      <c r="AC22" s="65"/>
    </row>
    <row r="23" spans="1:30" ht="114.75" thickBot="1">
      <c r="A23" s="174">
        <v>16</v>
      </c>
      <c r="B23" s="459"/>
      <c r="C23" s="455"/>
      <c r="D23" s="201" t="s">
        <v>264</v>
      </c>
      <c r="E23" s="203" t="s">
        <v>327</v>
      </c>
      <c r="F23" s="168" t="s">
        <v>136</v>
      </c>
      <c r="G23" s="168" t="s">
        <v>47</v>
      </c>
      <c r="H23" s="254" t="s">
        <v>265</v>
      </c>
      <c r="I23" s="279"/>
      <c r="J23" s="175" t="s">
        <v>48</v>
      </c>
      <c r="K23" s="63"/>
      <c r="L23" s="62"/>
      <c r="M23" s="62"/>
      <c r="N23" s="61"/>
      <c r="O23" s="61"/>
      <c r="P23" s="61"/>
      <c r="Q23" s="61"/>
      <c r="R23" s="61"/>
      <c r="S23" s="61"/>
      <c r="T23" s="61"/>
      <c r="U23" s="65"/>
      <c r="V23" s="65"/>
      <c r="W23" s="65"/>
      <c r="X23" s="65"/>
      <c r="Y23" s="65"/>
      <c r="Z23" s="65"/>
      <c r="AA23" s="65"/>
      <c r="AB23" s="65"/>
      <c r="AC23" s="65"/>
    </row>
    <row r="24" spans="1:30" ht="91.5" customHeight="1" thickBot="1">
      <c r="A24" s="174">
        <v>17</v>
      </c>
      <c r="B24" s="459"/>
      <c r="C24" s="450" t="s">
        <v>141</v>
      </c>
      <c r="D24" s="201" t="s">
        <v>142</v>
      </c>
      <c r="E24" s="203" t="s">
        <v>327</v>
      </c>
      <c r="F24" s="168" t="s">
        <v>143</v>
      </c>
      <c r="G24" s="168" t="s">
        <v>47</v>
      </c>
      <c r="H24" s="254"/>
      <c r="I24" s="279"/>
      <c r="J24" s="175" t="s">
        <v>48</v>
      </c>
      <c r="K24" s="63"/>
      <c r="L24" s="65"/>
      <c r="M24" s="62"/>
      <c r="N24" s="62"/>
      <c r="O24" s="61"/>
      <c r="P24" s="61"/>
      <c r="Q24" s="61"/>
      <c r="R24" s="61"/>
      <c r="S24" s="61"/>
      <c r="T24" s="61"/>
      <c r="U24" s="61"/>
      <c r="V24" s="65"/>
      <c r="W24" s="65"/>
      <c r="X24" s="65"/>
      <c r="Y24" s="65"/>
      <c r="Z24" s="65"/>
      <c r="AA24" s="65"/>
      <c r="AB24" s="65"/>
      <c r="AC24" s="65"/>
      <c r="AD24" s="65"/>
    </row>
    <row r="25" spans="1:30" ht="85.5" customHeight="1" thickBot="1">
      <c r="A25" s="328">
        <v>18</v>
      </c>
      <c r="B25" s="459"/>
      <c r="C25" s="451"/>
      <c r="D25" s="201" t="s">
        <v>266</v>
      </c>
      <c r="E25" s="203" t="s">
        <v>327</v>
      </c>
      <c r="F25" s="168" t="s">
        <v>267</v>
      </c>
      <c r="G25" s="168" t="s">
        <v>47</v>
      </c>
      <c r="H25" s="254"/>
      <c r="I25" s="279"/>
      <c r="J25" s="175" t="s">
        <v>48</v>
      </c>
      <c r="K25" s="63"/>
      <c r="L25" s="65"/>
      <c r="M25" s="62"/>
      <c r="N25" s="62"/>
      <c r="O25" s="61"/>
      <c r="P25" s="61"/>
      <c r="Q25" s="61"/>
      <c r="R25" s="61"/>
      <c r="S25" s="61"/>
      <c r="T25" s="61"/>
      <c r="U25" s="61"/>
      <c r="V25" s="65"/>
      <c r="W25" s="65"/>
      <c r="X25" s="65"/>
      <c r="Y25" s="65"/>
      <c r="Z25" s="65"/>
      <c r="AA25" s="65"/>
      <c r="AB25" s="65"/>
      <c r="AC25" s="65"/>
      <c r="AD25" s="65"/>
    </row>
    <row r="26" spans="1:30" ht="114.75" thickBot="1">
      <c r="A26" s="174">
        <v>19</v>
      </c>
      <c r="B26" s="460"/>
      <c r="C26" s="452"/>
      <c r="D26" s="343" t="s">
        <v>268</v>
      </c>
      <c r="E26" s="203" t="s">
        <v>327</v>
      </c>
      <c r="F26" s="168" t="s">
        <v>144</v>
      </c>
      <c r="G26" s="168" t="s">
        <v>47</v>
      </c>
      <c r="H26" s="248"/>
      <c r="I26" s="274"/>
      <c r="J26" s="175" t="s">
        <v>48</v>
      </c>
      <c r="K26" s="65"/>
      <c r="L26" s="65"/>
      <c r="M26" s="65"/>
      <c r="N26" s="65"/>
      <c r="O26" s="65"/>
      <c r="P26" s="65"/>
      <c r="Q26" s="178"/>
      <c r="R26" s="178"/>
      <c r="S26" s="178"/>
      <c r="T26" s="178"/>
      <c r="U26" s="178"/>
      <c r="V26" s="178"/>
      <c r="W26" s="178"/>
      <c r="X26" s="178"/>
      <c r="Y26" s="178"/>
      <c r="Z26" s="178"/>
      <c r="AA26" s="178"/>
      <c r="AB26" s="178"/>
      <c r="AC26" s="178"/>
      <c r="AD26" s="178"/>
    </row>
    <row r="27" spans="1:30" ht="114.75" thickBot="1">
      <c r="A27" s="328">
        <v>20</v>
      </c>
      <c r="B27" s="316"/>
      <c r="C27" s="345" t="s">
        <v>177</v>
      </c>
      <c r="D27" s="344" t="s">
        <v>272</v>
      </c>
      <c r="E27" s="203" t="s">
        <v>327</v>
      </c>
      <c r="F27" s="168" t="s">
        <v>137</v>
      </c>
      <c r="G27" s="168" t="s">
        <v>47</v>
      </c>
      <c r="H27" s="255" t="s">
        <v>278</v>
      </c>
      <c r="I27" s="274"/>
      <c r="J27" s="175" t="s">
        <v>48</v>
      </c>
      <c r="K27" s="65"/>
      <c r="L27" s="65"/>
      <c r="M27" s="65"/>
      <c r="N27" s="65"/>
      <c r="O27" s="65"/>
      <c r="P27" s="65"/>
      <c r="Q27" s="178"/>
      <c r="R27" s="178"/>
      <c r="S27" s="178"/>
      <c r="T27" s="178"/>
      <c r="U27" s="178"/>
      <c r="V27" s="178"/>
      <c r="W27" s="178"/>
      <c r="X27" s="178"/>
      <c r="Y27" s="178"/>
      <c r="Z27" s="178"/>
      <c r="AA27" s="178"/>
      <c r="AB27" s="178"/>
      <c r="AC27" s="178"/>
      <c r="AD27" s="178"/>
    </row>
    <row r="28" spans="1:30" ht="114.75" thickBot="1">
      <c r="A28" s="328">
        <v>21</v>
      </c>
      <c r="B28" s="316"/>
      <c r="C28" s="345"/>
      <c r="D28" s="344" t="s">
        <v>273</v>
      </c>
      <c r="E28" s="203" t="s">
        <v>327</v>
      </c>
      <c r="F28" s="168" t="s">
        <v>274</v>
      </c>
      <c r="G28" s="168" t="s">
        <v>47</v>
      </c>
      <c r="H28" s="248" t="s">
        <v>49</v>
      </c>
      <c r="I28" s="274"/>
      <c r="J28" s="175" t="s">
        <v>48</v>
      </c>
      <c r="K28" s="65"/>
      <c r="L28" s="65"/>
      <c r="M28" s="65"/>
      <c r="N28" s="65"/>
      <c r="O28" s="65"/>
      <c r="P28" s="65"/>
      <c r="Q28" s="178"/>
      <c r="R28" s="178"/>
      <c r="S28" s="178"/>
      <c r="T28" s="178"/>
      <c r="U28" s="178"/>
      <c r="V28" s="178"/>
      <c r="W28" s="178"/>
      <c r="X28" s="178"/>
      <c r="Y28" s="178"/>
      <c r="Z28" s="178"/>
      <c r="AA28" s="178"/>
      <c r="AB28" s="178"/>
      <c r="AC28" s="178"/>
      <c r="AD28" s="178"/>
    </row>
    <row r="29" spans="1:30" ht="114.75" thickBot="1">
      <c r="A29" s="328">
        <v>22</v>
      </c>
      <c r="B29" s="316"/>
      <c r="C29" s="345"/>
      <c r="D29" s="344" t="s">
        <v>275</v>
      </c>
      <c r="E29" s="203" t="s">
        <v>327</v>
      </c>
      <c r="F29" s="168" t="s">
        <v>274</v>
      </c>
      <c r="G29" s="168" t="s">
        <v>47</v>
      </c>
      <c r="H29" s="255" t="s">
        <v>276</v>
      </c>
      <c r="I29" s="274"/>
      <c r="J29" s="175" t="s">
        <v>48</v>
      </c>
      <c r="K29" s="65"/>
      <c r="L29" s="65"/>
      <c r="M29" s="65"/>
      <c r="N29" s="65"/>
      <c r="O29" s="65"/>
      <c r="P29" s="65"/>
      <c r="Q29" s="178"/>
      <c r="R29" s="178"/>
      <c r="S29" s="178"/>
      <c r="T29" s="178"/>
      <c r="U29" s="178"/>
      <c r="V29" s="178"/>
      <c r="W29" s="178"/>
      <c r="X29" s="178"/>
      <c r="Y29" s="178"/>
      <c r="Z29" s="178"/>
      <c r="AA29" s="178"/>
      <c r="AB29" s="178"/>
      <c r="AC29" s="178"/>
      <c r="AD29" s="178"/>
    </row>
    <row r="30" spans="1:30" ht="114.75" thickBot="1">
      <c r="A30" s="328">
        <v>23</v>
      </c>
      <c r="B30" s="316"/>
      <c r="C30" s="345"/>
      <c r="D30" s="344" t="s">
        <v>277</v>
      </c>
      <c r="E30" s="203" t="s">
        <v>327</v>
      </c>
      <c r="F30" s="168" t="s">
        <v>274</v>
      </c>
      <c r="G30" s="168" t="s">
        <v>47</v>
      </c>
      <c r="H30" s="255" t="s">
        <v>166</v>
      </c>
      <c r="I30" s="274"/>
      <c r="J30" s="175" t="s">
        <v>48</v>
      </c>
      <c r="K30" s="65"/>
      <c r="L30" s="65"/>
      <c r="M30" s="65"/>
      <c r="N30" s="65"/>
      <c r="O30" s="65"/>
      <c r="P30" s="65"/>
      <c r="Q30" s="178"/>
      <c r="R30" s="178"/>
      <c r="S30" s="178"/>
      <c r="T30" s="178"/>
      <c r="U30" s="178"/>
      <c r="V30" s="178"/>
      <c r="W30" s="178"/>
      <c r="X30" s="178"/>
      <c r="Y30" s="178"/>
      <c r="Z30" s="178"/>
      <c r="AA30" s="178"/>
      <c r="AB30" s="178"/>
      <c r="AC30" s="178"/>
      <c r="AD30" s="178"/>
    </row>
    <row r="31" spans="1:30" ht="114.75" thickBot="1">
      <c r="A31" s="328">
        <v>24</v>
      </c>
      <c r="B31" s="316"/>
      <c r="C31" s="345" t="s">
        <v>269</v>
      </c>
      <c r="D31" s="344" t="s">
        <v>279</v>
      </c>
      <c r="E31" s="203" t="s">
        <v>327</v>
      </c>
      <c r="F31" s="168" t="s">
        <v>280</v>
      </c>
      <c r="G31" s="168" t="s">
        <v>47</v>
      </c>
      <c r="H31" s="248" t="s">
        <v>49</v>
      </c>
      <c r="I31" s="274"/>
      <c r="J31" s="175" t="s">
        <v>48</v>
      </c>
      <c r="K31" s="65"/>
      <c r="L31" s="65"/>
      <c r="M31" s="65"/>
      <c r="N31" s="65"/>
      <c r="O31" s="65"/>
      <c r="P31" s="65"/>
      <c r="Q31" s="178"/>
      <c r="R31" s="178"/>
      <c r="S31" s="178"/>
      <c r="T31" s="178"/>
      <c r="U31" s="178"/>
      <c r="V31" s="178"/>
      <c r="W31" s="178"/>
      <c r="X31" s="178"/>
      <c r="Y31" s="178"/>
      <c r="Z31" s="178"/>
      <c r="AA31" s="178"/>
      <c r="AB31" s="178"/>
      <c r="AC31" s="178"/>
      <c r="AD31" s="178"/>
    </row>
    <row r="32" spans="1:30" ht="114.75" thickBot="1">
      <c r="A32" s="328">
        <v>25</v>
      </c>
      <c r="B32" s="316"/>
      <c r="C32" s="345"/>
      <c r="D32" s="344" t="s">
        <v>281</v>
      </c>
      <c r="E32" s="203" t="s">
        <v>327</v>
      </c>
      <c r="F32" s="168" t="s">
        <v>282</v>
      </c>
      <c r="G32" s="168" t="s">
        <v>47</v>
      </c>
      <c r="H32" s="248"/>
      <c r="I32" s="274"/>
      <c r="J32" s="175" t="s">
        <v>48</v>
      </c>
      <c r="K32" s="65"/>
      <c r="L32" s="65"/>
      <c r="M32" s="65"/>
      <c r="N32" s="65"/>
      <c r="O32" s="65"/>
      <c r="P32" s="65"/>
      <c r="Q32" s="178"/>
      <c r="R32" s="178"/>
      <c r="S32" s="178"/>
      <c r="T32" s="178"/>
      <c r="U32" s="178"/>
      <c r="V32" s="178"/>
      <c r="W32" s="178"/>
      <c r="X32" s="178"/>
      <c r="Y32" s="178"/>
      <c r="Z32" s="178"/>
      <c r="AA32" s="178"/>
      <c r="AB32" s="178"/>
      <c r="AC32" s="178"/>
      <c r="AD32" s="178"/>
    </row>
    <row r="33" spans="1:30" ht="114.75" thickBot="1">
      <c r="A33" s="328">
        <v>26</v>
      </c>
      <c r="B33" s="316"/>
      <c r="C33" s="345"/>
      <c r="D33" s="344" t="s">
        <v>283</v>
      </c>
      <c r="E33" s="203" t="s">
        <v>327</v>
      </c>
      <c r="F33" s="168" t="s">
        <v>284</v>
      </c>
      <c r="G33" s="168" t="s">
        <v>47</v>
      </c>
      <c r="H33" s="248"/>
      <c r="I33" s="274"/>
      <c r="J33" s="175" t="s">
        <v>48</v>
      </c>
      <c r="K33" s="65"/>
      <c r="L33" s="65"/>
      <c r="M33" s="65"/>
      <c r="N33" s="65"/>
      <c r="O33" s="65"/>
      <c r="P33" s="65"/>
      <c r="Q33" s="178"/>
      <c r="R33" s="178"/>
      <c r="S33" s="178"/>
      <c r="T33" s="178"/>
      <c r="U33" s="178"/>
      <c r="V33" s="178"/>
      <c r="W33" s="178"/>
      <c r="X33" s="178"/>
      <c r="Y33" s="178"/>
      <c r="Z33" s="178"/>
      <c r="AA33" s="178"/>
      <c r="AB33" s="178"/>
      <c r="AC33" s="178"/>
      <c r="AD33" s="178"/>
    </row>
    <row r="34" spans="1:30" ht="114.75" thickBot="1">
      <c r="A34" s="328">
        <v>27</v>
      </c>
      <c r="B34" s="316"/>
      <c r="C34" s="345"/>
      <c r="D34" s="344" t="s">
        <v>286</v>
      </c>
      <c r="E34" s="203" t="s">
        <v>327</v>
      </c>
      <c r="F34" s="168" t="s">
        <v>287</v>
      </c>
      <c r="G34" s="168" t="s">
        <v>47</v>
      </c>
      <c r="H34" s="248"/>
      <c r="I34" s="274"/>
      <c r="J34" s="175" t="s">
        <v>48</v>
      </c>
      <c r="K34" s="65"/>
      <c r="L34" s="65"/>
      <c r="M34" s="65"/>
      <c r="N34" s="65"/>
      <c r="O34" s="65"/>
      <c r="P34" s="65"/>
      <c r="Q34" s="178"/>
      <c r="R34" s="178"/>
      <c r="S34" s="178"/>
      <c r="T34" s="178"/>
      <c r="U34" s="178"/>
      <c r="V34" s="178"/>
      <c r="W34" s="178"/>
      <c r="X34" s="178"/>
      <c r="Y34" s="178"/>
      <c r="Z34" s="178"/>
      <c r="AA34" s="178"/>
      <c r="AB34" s="178"/>
      <c r="AC34" s="178"/>
      <c r="AD34" s="178"/>
    </row>
    <row r="35" spans="1:30" ht="114.75" thickBot="1">
      <c r="A35" s="328">
        <v>28</v>
      </c>
      <c r="B35" s="316"/>
      <c r="C35" s="345"/>
      <c r="D35" s="344" t="s">
        <v>288</v>
      </c>
      <c r="E35" s="203" t="s">
        <v>327</v>
      </c>
      <c r="F35" s="168" t="s">
        <v>285</v>
      </c>
      <c r="G35" s="168" t="s">
        <v>47</v>
      </c>
      <c r="H35" s="248"/>
      <c r="I35" s="274"/>
      <c r="J35" s="175" t="s">
        <v>48</v>
      </c>
      <c r="K35" s="65"/>
      <c r="L35" s="65"/>
      <c r="M35" s="65"/>
      <c r="N35" s="65"/>
      <c r="O35" s="65"/>
      <c r="P35" s="65"/>
      <c r="Q35" s="178"/>
      <c r="R35" s="178"/>
      <c r="S35" s="178"/>
      <c r="T35" s="178"/>
      <c r="U35" s="178"/>
      <c r="V35" s="178"/>
      <c r="W35" s="178"/>
      <c r="X35" s="178"/>
      <c r="Y35" s="178"/>
      <c r="Z35" s="178"/>
      <c r="AA35" s="178"/>
      <c r="AB35" s="178"/>
      <c r="AC35" s="178"/>
      <c r="AD35" s="178"/>
    </row>
    <row r="36" spans="1:30" ht="114.75" thickBot="1">
      <c r="A36" s="328">
        <v>29</v>
      </c>
      <c r="B36" s="316"/>
      <c r="C36" s="345"/>
      <c r="D36" s="344" t="s">
        <v>289</v>
      </c>
      <c r="E36" s="203" t="s">
        <v>327</v>
      </c>
      <c r="F36" s="168" t="s">
        <v>290</v>
      </c>
      <c r="G36" s="168" t="s">
        <v>47</v>
      </c>
      <c r="H36" s="248"/>
      <c r="I36" s="274"/>
      <c r="J36" s="175" t="s">
        <v>48</v>
      </c>
      <c r="K36" s="65"/>
      <c r="L36" s="65"/>
      <c r="M36" s="65"/>
      <c r="N36" s="65"/>
      <c r="O36" s="65"/>
      <c r="P36" s="65"/>
      <c r="Q36" s="178"/>
      <c r="R36" s="178"/>
      <c r="S36" s="178"/>
      <c r="T36" s="178"/>
      <c r="U36" s="178"/>
      <c r="V36" s="178"/>
      <c r="W36" s="178"/>
      <c r="X36" s="178"/>
      <c r="Y36" s="178"/>
      <c r="Z36" s="178"/>
      <c r="AA36" s="178"/>
      <c r="AB36" s="178"/>
      <c r="AC36" s="178"/>
      <c r="AD36" s="178"/>
    </row>
    <row r="37" spans="1:30" ht="114.75" thickBot="1">
      <c r="A37" s="328">
        <v>30</v>
      </c>
      <c r="B37" s="316"/>
      <c r="C37" s="345" t="s">
        <v>270</v>
      </c>
      <c r="D37" s="344" t="s">
        <v>291</v>
      </c>
      <c r="E37" s="203" t="s">
        <v>327</v>
      </c>
      <c r="F37" s="168" t="s">
        <v>292</v>
      </c>
      <c r="G37" s="168" t="s">
        <v>47</v>
      </c>
      <c r="H37" s="248" t="s">
        <v>293</v>
      </c>
      <c r="I37" s="274"/>
      <c r="J37" s="175" t="s">
        <v>48</v>
      </c>
      <c r="K37" s="65"/>
      <c r="L37" s="65"/>
      <c r="M37" s="65"/>
      <c r="N37" s="65"/>
      <c r="O37" s="65"/>
      <c r="P37" s="65"/>
      <c r="Q37" s="178"/>
      <c r="R37" s="178"/>
      <c r="S37" s="178"/>
      <c r="T37" s="178"/>
      <c r="U37" s="178"/>
      <c r="V37" s="178"/>
      <c r="W37" s="178"/>
      <c r="X37" s="178"/>
      <c r="Y37" s="178"/>
      <c r="Z37" s="178"/>
      <c r="AA37" s="178"/>
      <c r="AB37" s="178"/>
      <c r="AC37" s="178"/>
      <c r="AD37" s="178"/>
    </row>
    <row r="38" spans="1:30" ht="114.75" thickBot="1">
      <c r="A38" s="328">
        <v>31</v>
      </c>
      <c r="B38" s="316"/>
      <c r="C38" s="345"/>
      <c r="D38" s="344" t="s">
        <v>294</v>
      </c>
      <c r="E38" s="203" t="s">
        <v>327</v>
      </c>
      <c r="F38" s="168" t="s">
        <v>290</v>
      </c>
      <c r="G38" s="168" t="s">
        <v>47</v>
      </c>
      <c r="H38" s="248" t="s">
        <v>295</v>
      </c>
      <c r="I38" s="274"/>
      <c r="J38" s="175" t="s">
        <v>48</v>
      </c>
      <c r="K38" s="65"/>
      <c r="L38" s="65"/>
      <c r="M38" s="65"/>
      <c r="N38" s="65"/>
      <c r="O38" s="65"/>
      <c r="P38" s="65"/>
      <c r="Q38" s="178"/>
      <c r="R38" s="178"/>
      <c r="S38" s="178"/>
      <c r="T38" s="178"/>
      <c r="U38" s="178"/>
      <c r="V38" s="178"/>
      <c r="W38" s="178"/>
      <c r="X38" s="178"/>
      <c r="Y38" s="178"/>
      <c r="Z38" s="178"/>
      <c r="AA38" s="178"/>
      <c r="AB38" s="178"/>
      <c r="AC38" s="178"/>
      <c r="AD38" s="178"/>
    </row>
    <row r="39" spans="1:30" ht="114.75" thickBot="1">
      <c r="A39" s="328">
        <v>32</v>
      </c>
      <c r="B39" s="316"/>
      <c r="C39" s="345"/>
      <c r="D39" s="344" t="s">
        <v>296</v>
      </c>
      <c r="E39" s="203" t="s">
        <v>327</v>
      </c>
      <c r="F39" s="168" t="s">
        <v>290</v>
      </c>
      <c r="G39" s="168" t="s">
        <v>47</v>
      </c>
      <c r="H39" s="248"/>
      <c r="I39" s="274"/>
      <c r="J39" s="175" t="s">
        <v>48</v>
      </c>
      <c r="K39" s="65"/>
      <c r="L39" s="65"/>
      <c r="M39" s="65"/>
      <c r="N39" s="65"/>
      <c r="O39" s="65"/>
      <c r="P39" s="65"/>
      <c r="Q39" s="178"/>
      <c r="R39" s="178"/>
      <c r="S39" s="178"/>
      <c r="T39" s="178"/>
      <c r="U39" s="178"/>
      <c r="V39" s="178"/>
      <c r="W39" s="178"/>
      <c r="X39" s="178"/>
      <c r="Y39" s="178"/>
      <c r="Z39" s="178"/>
      <c r="AA39" s="178"/>
      <c r="AB39" s="178"/>
      <c r="AC39" s="178"/>
      <c r="AD39" s="178"/>
    </row>
    <row r="40" spans="1:30" ht="114.75" thickBot="1">
      <c r="A40" s="328">
        <v>33</v>
      </c>
      <c r="B40" s="316"/>
      <c r="C40" s="345" t="s">
        <v>271</v>
      </c>
      <c r="D40" s="344" t="s">
        <v>297</v>
      </c>
      <c r="E40" s="203" t="s">
        <v>327</v>
      </c>
      <c r="F40" s="168" t="s">
        <v>292</v>
      </c>
      <c r="G40" s="168" t="s">
        <v>47</v>
      </c>
      <c r="H40" s="248" t="s">
        <v>293</v>
      </c>
      <c r="I40" s="274"/>
      <c r="J40" s="175" t="s">
        <v>48</v>
      </c>
      <c r="K40" s="65"/>
      <c r="L40" s="65"/>
      <c r="M40" s="65"/>
      <c r="N40" s="65"/>
      <c r="O40" s="65"/>
      <c r="P40" s="65"/>
      <c r="Q40" s="178"/>
      <c r="R40" s="178"/>
      <c r="S40" s="178"/>
      <c r="T40" s="178"/>
      <c r="U40" s="178"/>
      <c r="V40" s="178"/>
      <c r="W40" s="178"/>
      <c r="X40" s="178"/>
      <c r="Y40" s="178"/>
      <c r="Z40" s="178"/>
      <c r="AA40" s="178"/>
      <c r="AB40" s="178"/>
      <c r="AC40" s="178"/>
      <c r="AD40" s="178"/>
    </row>
    <row r="41" spans="1:30" ht="114.75" thickBot="1">
      <c r="A41" s="328">
        <v>34</v>
      </c>
      <c r="B41" s="316"/>
      <c r="C41" s="345"/>
      <c r="D41" s="344" t="s">
        <v>298</v>
      </c>
      <c r="E41" s="203" t="s">
        <v>327</v>
      </c>
      <c r="F41" s="168" t="s">
        <v>290</v>
      </c>
      <c r="G41" s="168" t="s">
        <v>47</v>
      </c>
      <c r="H41" s="248" t="s">
        <v>299</v>
      </c>
      <c r="I41" s="274"/>
      <c r="J41" s="175" t="s">
        <v>48</v>
      </c>
      <c r="K41" s="65"/>
      <c r="L41" s="65"/>
      <c r="M41" s="65"/>
      <c r="N41" s="65"/>
      <c r="O41" s="65"/>
      <c r="P41" s="65"/>
      <c r="Q41" s="178"/>
      <c r="R41" s="178"/>
      <c r="S41" s="178"/>
      <c r="T41" s="178"/>
      <c r="U41" s="178"/>
      <c r="V41" s="178"/>
      <c r="W41" s="178"/>
      <c r="X41" s="178"/>
      <c r="Y41" s="178"/>
      <c r="Z41" s="178"/>
      <c r="AA41" s="178"/>
      <c r="AB41" s="178"/>
      <c r="AC41" s="178"/>
      <c r="AD41" s="178"/>
    </row>
    <row r="42" spans="1:30" ht="114.75" thickBot="1">
      <c r="A42" s="328">
        <v>35</v>
      </c>
      <c r="B42" s="316"/>
      <c r="C42" s="345"/>
      <c r="D42" s="344" t="s">
        <v>296</v>
      </c>
      <c r="E42" s="203" t="s">
        <v>327</v>
      </c>
      <c r="F42" s="168" t="s">
        <v>290</v>
      </c>
      <c r="G42" s="168" t="s">
        <v>47</v>
      </c>
      <c r="H42" s="248"/>
      <c r="I42" s="274"/>
      <c r="J42" s="175" t="s">
        <v>48</v>
      </c>
      <c r="K42" s="65"/>
      <c r="L42" s="65"/>
      <c r="M42" s="65"/>
      <c r="N42" s="65"/>
      <c r="O42" s="65"/>
      <c r="P42" s="65"/>
      <c r="Q42" s="178"/>
      <c r="R42" s="178"/>
      <c r="S42" s="178"/>
      <c r="T42" s="178"/>
      <c r="U42" s="178"/>
      <c r="V42" s="178"/>
      <c r="W42" s="178"/>
      <c r="X42" s="178"/>
      <c r="Y42" s="178"/>
      <c r="Z42" s="178"/>
      <c r="AA42" s="178"/>
      <c r="AB42" s="178"/>
      <c r="AC42" s="178"/>
      <c r="AD42" s="178"/>
    </row>
    <row r="43" spans="1:30" ht="114.75" thickBot="1">
      <c r="A43" s="328">
        <v>36</v>
      </c>
      <c r="B43" s="316"/>
      <c r="C43" s="345" t="s">
        <v>300</v>
      </c>
      <c r="D43" s="344" t="s">
        <v>301</v>
      </c>
      <c r="E43" s="203" t="s">
        <v>327</v>
      </c>
      <c r="F43" s="168" t="s">
        <v>303</v>
      </c>
      <c r="G43" s="168" t="s">
        <v>47</v>
      </c>
      <c r="H43" s="248"/>
      <c r="I43" s="274"/>
      <c r="J43" s="175" t="s">
        <v>48</v>
      </c>
      <c r="K43" s="65"/>
      <c r="L43" s="65"/>
      <c r="M43" s="65"/>
      <c r="N43" s="65"/>
      <c r="O43" s="65"/>
      <c r="P43" s="65"/>
      <c r="Q43" s="178"/>
      <c r="R43" s="178"/>
      <c r="S43" s="178"/>
      <c r="T43" s="178"/>
      <c r="U43" s="178"/>
      <c r="V43" s="178"/>
      <c r="W43" s="178"/>
      <c r="X43" s="178"/>
      <c r="Y43" s="178"/>
      <c r="Z43" s="178"/>
      <c r="AA43" s="178"/>
      <c r="AB43" s="178"/>
      <c r="AC43" s="178"/>
      <c r="AD43" s="178"/>
    </row>
    <row r="44" spans="1:30" ht="114.75" thickBot="1">
      <c r="A44" s="328">
        <v>37</v>
      </c>
      <c r="B44" s="316"/>
      <c r="C44" s="345"/>
      <c r="D44" s="344" t="s">
        <v>302</v>
      </c>
      <c r="E44" s="203" t="s">
        <v>327</v>
      </c>
      <c r="F44" s="168" t="s">
        <v>274</v>
      </c>
      <c r="G44" s="168" t="s">
        <v>47</v>
      </c>
      <c r="H44" s="248"/>
      <c r="I44" s="274"/>
      <c r="J44" s="175" t="s">
        <v>48</v>
      </c>
      <c r="K44" s="65"/>
      <c r="L44" s="65"/>
      <c r="M44" s="65"/>
      <c r="N44" s="65"/>
      <c r="O44" s="65"/>
      <c r="P44" s="65"/>
      <c r="Q44" s="178"/>
      <c r="R44" s="178"/>
      <c r="S44" s="178"/>
      <c r="T44" s="178"/>
      <c r="U44" s="178"/>
      <c r="V44" s="178"/>
      <c r="W44" s="178"/>
      <c r="X44" s="178"/>
      <c r="Y44" s="178"/>
      <c r="Z44" s="178"/>
      <c r="AA44" s="178"/>
      <c r="AB44" s="178"/>
      <c r="AC44" s="178"/>
      <c r="AD44" s="178"/>
    </row>
    <row r="45" spans="1:30" ht="114.75" thickBot="1">
      <c r="A45" s="328">
        <v>38</v>
      </c>
      <c r="B45" s="316"/>
      <c r="C45" s="345" t="s">
        <v>304</v>
      </c>
      <c r="D45" s="344" t="s">
        <v>305</v>
      </c>
      <c r="E45" s="203" t="s">
        <v>327</v>
      </c>
      <c r="F45" s="168" t="s">
        <v>306</v>
      </c>
      <c r="G45" s="168" t="s">
        <v>47</v>
      </c>
      <c r="H45" s="248"/>
      <c r="I45" s="274"/>
      <c r="J45" s="175" t="s">
        <v>48</v>
      </c>
      <c r="K45" s="65"/>
      <c r="L45" s="65"/>
      <c r="M45" s="65"/>
      <c r="N45" s="65"/>
      <c r="O45" s="65"/>
      <c r="P45" s="65"/>
      <c r="Q45" s="178"/>
      <c r="R45" s="178"/>
      <c r="S45" s="178"/>
      <c r="T45" s="178"/>
      <c r="U45" s="178"/>
      <c r="V45" s="178"/>
      <c r="W45" s="178"/>
      <c r="X45" s="178"/>
      <c r="Y45" s="178"/>
      <c r="Z45" s="178"/>
      <c r="AA45" s="178"/>
      <c r="AB45" s="178"/>
      <c r="AC45" s="178"/>
      <c r="AD45" s="178"/>
    </row>
    <row r="46" spans="1:30" ht="114.75" thickBot="1">
      <c r="A46" s="328">
        <v>39</v>
      </c>
      <c r="B46" s="316"/>
      <c r="C46" s="345"/>
      <c r="D46" s="344" t="s">
        <v>308</v>
      </c>
      <c r="E46" s="203" t="s">
        <v>327</v>
      </c>
      <c r="F46" s="168" t="s">
        <v>307</v>
      </c>
      <c r="G46" s="168" t="s">
        <v>47</v>
      </c>
      <c r="H46" s="248"/>
      <c r="I46" s="274"/>
      <c r="J46" s="175" t="s">
        <v>48</v>
      </c>
      <c r="K46" s="65"/>
      <c r="L46" s="65"/>
      <c r="M46" s="65"/>
      <c r="N46" s="65"/>
      <c r="O46" s="65"/>
      <c r="P46" s="65"/>
      <c r="Q46" s="178"/>
      <c r="R46" s="178"/>
      <c r="S46" s="178"/>
      <c r="T46" s="178"/>
      <c r="U46" s="178"/>
      <c r="V46" s="178"/>
      <c r="W46" s="178"/>
      <c r="X46" s="178"/>
      <c r="Y46" s="178"/>
      <c r="Z46" s="178"/>
      <c r="AA46" s="178"/>
      <c r="AB46" s="178"/>
      <c r="AC46" s="178"/>
      <c r="AD46" s="178"/>
    </row>
    <row r="47" spans="1:30" ht="114.75" thickBot="1">
      <c r="A47" s="328">
        <v>40</v>
      </c>
      <c r="B47" s="316"/>
      <c r="C47" s="345"/>
      <c r="D47" s="344" t="s">
        <v>309</v>
      </c>
      <c r="E47" s="203" t="s">
        <v>327</v>
      </c>
      <c r="F47" s="168" t="s">
        <v>310</v>
      </c>
      <c r="G47" s="168" t="s">
        <v>47</v>
      </c>
      <c r="H47" s="248"/>
      <c r="I47" s="274"/>
      <c r="J47" s="175" t="s">
        <v>48</v>
      </c>
      <c r="K47" s="65"/>
      <c r="L47" s="65"/>
      <c r="M47" s="65"/>
      <c r="N47" s="65"/>
      <c r="O47" s="65"/>
      <c r="P47" s="65"/>
      <c r="Q47" s="178"/>
      <c r="R47" s="178"/>
      <c r="S47" s="178"/>
      <c r="T47" s="178"/>
      <c r="U47" s="178"/>
      <c r="V47" s="178"/>
      <c r="W47" s="178"/>
      <c r="X47" s="178"/>
      <c r="Y47" s="178"/>
      <c r="Z47" s="178"/>
      <c r="AA47" s="178"/>
      <c r="AB47" s="178"/>
      <c r="AC47" s="178"/>
      <c r="AD47" s="178"/>
    </row>
    <row r="48" spans="1:30" s="400" customFormat="1" ht="15.75" thickBot="1">
      <c r="A48" s="401"/>
      <c r="B48" s="402"/>
      <c r="C48" s="403"/>
      <c r="D48" s="404"/>
      <c r="E48" s="392"/>
      <c r="F48" s="405"/>
      <c r="G48" s="405"/>
      <c r="H48" s="406"/>
      <c r="I48" s="407"/>
      <c r="J48" s="395"/>
      <c r="K48" s="399"/>
      <c r="L48" s="399"/>
      <c r="M48" s="399"/>
      <c r="N48" s="399"/>
      <c r="O48" s="399"/>
      <c r="P48" s="399"/>
      <c r="Q48" s="408"/>
      <c r="R48" s="408"/>
      <c r="S48" s="408"/>
      <c r="T48" s="408"/>
      <c r="U48" s="408"/>
      <c r="V48" s="408"/>
      <c r="W48" s="408"/>
      <c r="X48" s="408"/>
      <c r="Y48" s="408"/>
      <c r="Z48" s="408"/>
      <c r="AA48" s="408"/>
      <c r="AB48" s="408"/>
      <c r="AC48" s="408"/>
      <c r="AD48" s="408"/>
    </row>
    <row r="49" spans="1:30" ht="86.25" thickBot="1">
      <c r="A49" s="61">
        <v>1</v>
      </c>
      <c r="B49" s="433" t="s">
        <v>158</v>
      </c>
      <c r="C49" s="202" t="s">
        <v>159</v>
      </c>
      <c r="D49" s="168" t="s">
        <v>160</v>
      </c>
      <c r="E49" s="203" t="s">
        <v>329</v>
      </c>
      <c r="F49" s="203" t="s">
        <v>162</v>
      </c>
      <c r="G49" s="203" t="s">
        <v>47</v>
      </c>
      <c r="H49" s="248" t="s">
        <v>49</v>
      </c>
      <c r="I49" s="274"/>
      <c r="J49" s="175" t="s">
        <v>48</v>
      </c>
      <c r="K49" s="65"/>
      <c r="L49" s="65"/>
      <c r="M49" s="65"/>
      <c r="N49" s="65"/>
      <c r="O49" s="65"/>
      <c r="P49" s="65"/>
      <c r="Q49" s="178"/>
      <c r="R49" s="178"/>
      <c r="S49" s="178"/>
      <c r="T49" s="178"/>
      <c r="U49" s="178"/>
      <c r="V49" s="178"/>
      <c r="W49" s="178"/>
      <c r="X49" s="178"/>
      <c r="Y49" s="178"/>
      <c r="Z49" s="178"/>
      <c r="AA49" s="178"/>
      <c r="AB49" s="178"/>
      <c r="AC49" s="178"/>
      <c r="AD49" s="178"/>
    </row>
    <row r="50" spans="1:30" ht="86.25" thickBot="1">
      <c r="A50" s="61">
        <v>2</v>
      </c>
      <c r="B50" s="433"/>
      <c r="C50" s="202"/>
      <c r="D50" s="168" t="s">
        <v>163</v>
      </c>
      <c r="E50" s="203" t="s">
        <v>329</v>
      </c>
      <c r="F50" s="203" t="s">
        <v>164</v>
      </c>
      <c r="G50" s="203" t="s">
        <v>47</v>
      </c>
      <c r="H50" s="255" t="s">
        <v>139</v>
      </c>
      <c r="I50" s="274"/>
      <c r="J50" s="175" t="s">
        <v>48</v>
      </c>
      <c r="K50" s="65"/>
      <c r="L50" s="65"/>
      <c r="M50" s="65"/>
      <c r="N50" s="65"/>
      <c r="O50" s="65"/>
      <c r="P50" s="65"/>
      <c r="Q50" s="178"/>
      <c r="R50" s="178"/>
      <c r="S50" s="178"/>
      <c r="T50" s="178"/>
      <c r="U50" s="178"/>
      <c r="V50" s="178"/>
      <c r="W50" s="178"/>
      <c r="X50" s="178"/>
      <c r="Y50" s="178"/>
      <c r="Z50" s="178"/>
      <c r="AA50" s="178"/>
      <c r="AB50" s="178"/>
      <c r="AC50" s="178"/>
      <c r="AD50" s="178"/>
    </row>
    <row r="51" spans="1:30" ht="86.25" thickBot="1">
      <c r="A51" s="61">
        <v>3</v>
      </c>
      <c r="B51" s="433"/>
      <c r="C51" s="202"/>
      <c r="D51" s="168" t="s">
        <v>195</v>
      </c>
      <c r="E51" s="203" t="s">
        <v>329</v>
      </c>
      <c r="F51" s="203" t="s">
        <v>165</v>
      </c>
      <c r="G51" s="203" t="s">
        <v>47</v>
      </c>
      <c r="H51" s="255" t="s">
        <v>166</v>
      </c>
      <c r="I51" s="274"/>
      <c r="J51" s="175" t="s">
        <v>48</v>
      </c>
      <c r="K51" s="65"/>
      <c r="L51" s="65"/>
      <c r="M51" s="65"/>
      <c r="N51" s="65"/>
      <c r="O51" s="65"/>
      <c r="P51" s="65"/>
      <c r="Q51" s="178"/>
      <c r="R51" s="178"/>
      <c r="S51" s="178"/>
      <c r="T51" s="178"/>
      <c r="U51" s="178"/>
      <c r="V51" s="178"/>
      <c r="W51" s="178"/>
      <c r="X51" s="178"/>
      <c r="Y51" s="178"/>
      <c r="Z51" s="178"/>
      <c r="AA51" s="178"/>
      <c r="AB51" s="178"/>
      <c r="AC51" s="178"/>
      <c r="AD51" s="178"/>
    </row>
    <row r="52" spans="1:30" ht="86.25" thickBot="1">
      <c r="A52" s="61">
        <v>4</v>
      </c>
      <c r="B52" s="433"/>
      <c r="C52" s="202"/>
      <c r="D52" s="168" t="s">
        <v>208</v>
      </c>
      <c r="E52" s="203" t="s">
        <v>329</v>
      </c>
      <c r="F52" s="203" t="s">
        <v>164</v>
      </c>
      <c r="G52" s="203" t="s">
        <v>47</v>
      </c>
      <c r="H52" s="256" t="s">
        <v>209</v>
      </c>
      <c r="I52" s="274"/>
      <c r="J52" s="175" t="s">
        <v>48</v>
      </c>
      <c r="K52" s="65"/>
      <c r="L52" s="65"/>
      <c r="M52" s="65"/>
      <c r="N52" s="65"/>
      <c r="O52" s="65"/>
      <c r="P52" s="65"/>
      <c r="Q52" s="178"/>
      <c r="R52" s="178"/>
      <c r="S52" s="178"/>
      <c r="T52" s="178"/>
      <c r="U52" s="178"/>
      <c r="V52" s="178"/>
      <c r="W52" s="178"/>
      <c r="X52" s="178"/>
      <c r="Y52" s="178"/>
      <c r="Z52" s="178"/>
      <c r="AA52" s="178"/>
      <c r="AB52" s="178"/>
      <c r="AC52" s="178"/>
      <c r="AD52" s="178"/>
    </row>
    <row r="53" spans="1:30" ht="86.25" thickBot="1">
      <c r="A53" s="61">
        <v>5</v>
      </c>
      <c r="B53" s="433"/>
      <c r="C53" s="202"/>
      <c r="D53" s="168" t="s">
        <v>210</v>
      </c>
      <c r="E53" s="203" t="s">
        <v>329</v>
      </c>
      <c r="F53" s="203" t="s">
        <v>164</v>
      </c>
      <c r="G53" s="203" t="s">
        <v>47</v>
      </c>
      <c r="H53" s="256" t="s">
        <v>169</v>
      </c>
      <c r="I53" s="274"/>
      <c r="J53" s="175" t="s">
        <v>48</v>
      </c>
      <c r="K53" s="65"/>
      <c r="L53" s="65"/>
      <c r="M53" s="65"/>
      <c r="N53" s="65"/>
      <c r="O53" s="65"/>
      <c r="P53" s="65"/>
      <c r="Q53" s="178"/>
      <c r="R53" s="178"/>
      <c r="S53" s="178"/>
      <c r="T53" s="178"/>
      <c r="U53" s="178"/>
      <c r="V53" s="178"/>
      <c r="W53" s="178"/>
      <c r="X53" s="178"/>
      <c r="Y53" s="178"/>
      <c r="Z53" s="178"/>
      <c r="AA53" s="178"/>
      <c r="AB53" s="178"/>
      <c r="AC53" s="178"/>
      <c r="AD53" s="178"/>
    </row>
    <row r="54" spans="1:30" ht="86.25" thickBot="1">
      <c r="A54" s="61">
        <v>6</v>
      </c>
      <c r="B54" s="433"/>
      <c r="C54" s="202"/>
      <c r="D54" s="168" t="s">
        <v>211</v>
      </c>
      <c r="E54" s="203" t="s">
        <v>329</v>
      </c>
      <c r="F54" s="203" t="s">
        <v>168</v>
      </c>
      <c r="G54" s="203" t="s">
        <v>47</v>
      </c>
      <c r="H54" s="256" t="s">
        <v>167</v>
      </c>
      <c r="I54" s="274"/>
      <c r="J54" s="175" t="s">
        <v>48</v>
      </c>
      <c r="K54" s="65"/>
      <c r="L54" s="65"/>
      <c r="M54" s="65"/>
      <c r="N54" s="65"/>
      <c r="O54" s="65"/>
      <c r="P54" s="65"/>
      <c r="Q54" s="178"/>
      <c r="R54" s="178"/>
      <c r="S54" s="178"/>
      <c r="T54" s="178"/>
      <c r="U54" s="178"/>
      <c r="V54" s="178"/>
      <c r="W54" s="178"/>
      <c r="X54" s="178"/>
      <c r="Y54" s="178"/>
      <c r="Z54" s="178"/>
      <c r="AA54" s="178"/>
      <c r="AB54" s="178"/>
      <c r="AC54" s="178"/>
      <c r="AD54" s="178"/>
    </row>
    <row r="55" spans="1:30" ht="86.25" thickBot="1">
      <c r="A55" s="61">
        <v>7</v>
      </c>
      <c r="B55" s="433"/>
      <c r="C55" s="202"/>
      <c r="D55" s="168" t="s">
        <v>212</v>
      </c>
      <c r="E55" s="203" t="s">
        <v>329</v>
      </c>
      <c r="F55" s="203" t="s">
        <v>170</v>
      </c>
      <c r="G55" s="203" t="s">
        <v>47</v>
      </c>
      <c r="H55" s="255" t="s">
        <v>166</v>
      </c>
      <c r="I55" s="274"/>
      <c r="J55" s="175" t="s">
        <v>48</v>
      </c>
      <c r="K55" s="65"/>
      <c r="L55" s="65"/>
      <c r="M55" s="65"/>
      <c r="N55" s="65"/>
      <c r="O55" s="65"/>
      <c r="P55" s="65"/>
      <c r="Q55" s="178"/>
      <c r="R55" s="178"/>
      <c r="S55" s="178"/>
      <c r="T55" s="178"/>
      <c r="U55" s="178"/>
      <c r="V55" s="178"/>
      <c r="W55" s="178"/>
      <c r="X55" s="178"/>
      <c r="Y55" s="178"/>
      <c r="Z55" s="178"/>
      <c r="AA55" s="178"/>
      <c r="AB55" s="178"/>
      <c r="AC55" s="178"/>
      <c r="AD55" s="178"/>
    </row>
    <row r="56" spans="1:30" ht="86.25" thickBot="1">
      <c r="A56" s="61">
        <v>8</v>
      </c>
      <c r="B56" s="433"/>
      <c r="C56" s="333"/>
      <c r="D56" s="168" t="s">
        <v>213</v>
      </c>
      <c r="E56" s="203" t="s">
        <v>329</v>
      </c>
      <c r="F56" s="203" t="s">
        <v>162</v>
      </c>
      <c r="G56" s="203" t="s">
        <v>47</v>
      </c>
      <c r="H56" s="248" t="s">
        <v>171</v>
      </c>
      <c r="I56" s="274"/>
      <c r="J56" s="175" t="s">
        <v>48</v>
      </c>
      <c r="K56" s="65"/>
      <c r="L56" s="65"/>
      <c r="M56" s="65"/>
      <c r="N56" s="65"/>
      <c r="O56" s="65"/>
      <c r="P56" s="65"/>
      <c r="Q56" s="178"/>
      <c r="R56" s="178"/>
      <c r="S56" s="178"/>
      <c r="T56" s="178"/>
      <c r="U56" s="178"/>
      <c r="V56" s="178"/>
      <c r="W56" s="178"/>
      <c r="X56" s="178"/>
      <c r="Y56" s="178"/>
      <c r="Z56" s="178"/>
      <c r="AA56" s="178"/>
      <c r="AB56" s="178"/>
      <c r="AC56" s="178"/>
      <c r="AD56" s="178"/>
    </row>
    <row r="57" spans="1:30" ht="86.25" thickBot="1">
      <c r="A57" s="61">
        <v>9</v>
      </c>
      <c r="B57" s="433"/>
      <c r="C57" s="333"/>
      <c r="D57" s="168" t="s">
        <v>214</v>
      </c>
      <c r="E57" s="203" t="s">
        <v>329</v>
      </c>
      <c r="F57" s="203" t="s">
        <v>173</v>
      </c>
      <c r="G57" s="203" t="s">
        <v>47</v>
      </c>
      <c r="H57" s="248" t="s">
        <v>172</v>
      </c>
      <c r="I57" s="274"/>
      <c r="J57" s="175" t="s">
        <v>48</v>
      </c>
      <c r="K57" s="65"/>
      <c r="L57" s="62"/>
      <c r="M57" s="65"/>
      <c r="N57" s="65"/>
      <c r="O57" s="65"/>
      <c r="P57" s="65"/>
      <c r="Q57" s="178"/>
      <c r="R57" s="178"/>
      <c r="S57" s="178"/>
      <c r="T57" s="178"/>
      <c r="U57" s="178"/>
      <c r="V57" s="178"/>
      <c r="W57" s="178"/>
      <c r="X57" s="178"/>
      <c r="Y57" s="178"/>
      <c r="Z57" s="178"/>
      <c r="AA57" s="178"/>
      <c r="AB57" s="178"/>
      <c r="AC57" s="178"/>
      <c r="AD57" s="178"/>
    </row>
    <row r="58" spans="1:30" ht="86.25" thickBot="1">
      <c r="A58" s="61">
        <v>10</v>
      </c>
      <c r="B58" s="433"/>
      <c r="C58" s="333"/>
      <c r="D58" s="168" t="s">
        <v>215</v>
      </c>
      <c r="E58" s="203" t="s">
        <v>329</v>
      </c>
      <c r="F58" s="203" t="s">
        <v>192</v>
      </c>
      <c r="G58" s="203" t="s">
        <v>47</v>
      </c>
      <c r="H58" s="248" t="s">
        <v>194</v>
      </c>
      <c r="I58" s="274"/>
      <c r="J58" s="175" t="s">
        <v>48</v>
      </c>
      <c r="K58" s="65"/>
      <c r="L58" s="62"/>
      <c r="M58" s="65"/>
      <c r="N58" s="65"/>
      <c r="O58" s="65"/>
      <c r="P58" s="65"/>
      <c r="Q58" s="178"/>
      <c r="R58" s="178"/>
      <c r="S58" s="178"/>
      <c r="T58" s="178"/>
      <c r="U58" s="178"/>
      <c r="V58" s="178"/>
      <c r="W58" s="178"/>
      <c r="X58" s="178"/>
      <c r="Y58" s="178"/>
      <c r="Z58" s="178"/>
      <c r="AA58" s="178"/>
      <c r="AB58" s="178"/>
      <c r="AC58" s="178"/>
      <c r="AD58" s="178"/>
    </row>
    <row r="59" spans="1:30" ht="86.25" thickBot="1">
      <c r="A59" s="61">
        <v>11</v>
      </c>
      <c r="B59" s="433"/>
      <c r="C59" s="333"/>
      <c r="D59" s="168" t="s">
        <v>216</v>
      </c>
      <c r="E59" s="203" t="s">
        <v>329</v>
      </c>
      <c r="F59" s="203" t="s">
        <v>193</v>
      </c>
      <c r="G59" s="203" t="s">
        <v>196</v>
      </c>
      <c r="H59" s="248" t="s">
        <v>197</v>
      </c>
      <c r="I59" s="298" t="s">
        <v>201</v>
      </c>
      <c r="J59" s="175" t="s">
        <v>140</v>
      </c>
      <c r="K59" s="65"/>
      <c r="L59" s="62"/>
      <c r="M59" s="65"/>
      <c r="N59" s="65"/>
      <c r="O59" s="65"/>
      <c r="P59" s="65"/>
      <c r="Q59" s="178"/>
      <c r="R59" s="178"/>
      <c r="S59" s="178"/>
      <c r="T59" s="178"/>
      <c r="U59" s="178"/>
      <c r="V59" s="178"/>
      <c r="W59" s="178"/>
      <c r="X59" s="178"/>
      <c r="Y59" s="178"/>
      <c r="Z59" s="178"/>
      <c r="AA59" s="178"/>
      <c r="AB59" s="178"/>
      <c r="AC59" s="178"/>
      <c r="AD59" s="178"/>
    </row>
    <row r="60" spans="1:30" ht="86.25" thickBot="1">
      <c r="A60" s="61">
        <v>12</v>
      </c>
      <c r="B60" s="433"/>
      <c r="C60" s="333"/>
      <c r="D60" s="168" t="s">
        <v>217</v>
      </c>
      <c r="E60" s="203" t="s">
        <v>329</v>
      </c>
      <c r="F60" s="203" t="s">
        <v>206</v>
      </c>
      <c r="G60" s="203" t="s">
        <v>207</v>
      </c>
      <c r="H60" s="296" t="s">
        <v>205</v>
      </c>
      <c r="I60" s="317" t="s">
        <v>231</v>
      </c>
      <c r="J60" s="297" t="s">
        <v>140</v>
      </c>
      <c r="K60" s="65"/>
      <c r="L60" s="62"/>
      <c r="M60" s="65"/>
      <c r="N60" s="65"/>
      <c r="O60" s="65"/>
      <c r="P60" s="65"/>
      <c r="Q60" s="178"/>
      <c r="R60" s="178"/>
      <c r="S60" s="178"/>
      <c r="T60" s="178"/>
      <c r="U60" s="178"/>
      <c r="V60" s="178"/>
      <c r="W60" s="178"/>
      <c r="X60" s="178"/>
      <c r="Y60" s="178"/>
      <c r="Z60" s="178"/>
      <c r="AA60" s="178"/>
      <c r="AB60" s="178"/>
      <c r="AC60" s="178"/>
      <c r="AD60" s="178"/>
    </row>
    <row r="61" spans="1:30" ht="86.25" thickBot="1">
      <c r="A61" s="179">
        <v>13</v>
      </c>
      <c r="B61" s="433"/>
      <c r="C61" s="333"/>
      <c r="D61" s="168" t="s">
        <v>218</v>
      </c>
      <c r="E61" s="203" t="s">
        <v>329</v>
      </c>
      <c r="F61" s="203" t="s">
        <v>174</v>
      </c>
      <c r="G61" s="203" t="s">
        <v>207</v>
      </c>
      <c r="H61" s="257" t="s">
        <v>325</v>
      </c>
      <c r="I61" s="351" t="s">
        <v>152</v>
      </c>
      <c r="J61" s="175" t="s">
        <v>140</v>
      </c>
      <c r="K61" s="62"/>
      <c r="L61" s="66"/>
      <c r="M61" s="62"/>
      <c r="N61" s="62"/>
      <c r="O61" s="61"/>
      <c r="P61" s="61"/>
      <c r="Q61" s="61"/>
      <c r="R61" s="61"/>
      <c r="S61" s="61"/>
      <c r="T61" s="61"/>
      <c r="U61" s="61"/>
      <c r="V61" s="65"/>
      <c r="W61" s="65"/>
      <c r="X61" s="65"/>
      <c r="Y61" s="65"/>
      <c r="Z61" s="65"/>
      <c r="AA61" s="65"/>
      <c r="AB61" s="65"/>
      <c r="AC61" s="65"/>
      <c r="AD61" s="65"/>
    </row>
    <row r="62" spans="1:30" ht="86.25" thickBot="1">
      <c r="A62" s="179">
        <v>14</v>
      </c>
      <c r="B62" s="433"/>
      <c r="C62" s="333"/>
      <c r="D62" s="180" t="s">
        <v>219</v>
      </c>
      <c r="E62" s="203" t="s">
        <v>329</v>
      </c>
      <c r="F62" s="203" t="s">
        <v>175</v>
      </c>
      <c r="G62" s="203" t="s">
        <v>207</v>
      </c>
      <c r="H62" s="299" t="s">
        <v>176</v>
      </c>
      <c r="I62" s="301" t="s">
        <v>177</v>
      </c>
      <c r="J62" s="297" t="s">
        <v>140</v>
      </c>
      <c r="K62" s="61"/>
      <c r="L62" s="61"/>
      <c r="M62" s="62"/>
      <c r="N62" s="62"/>
      <c r="O62" s="61"/>
      <c r="P62" s="61"/>
      <c r="Q62" s="61"/>
      <c r="R62" s="61"/>
      <c r="S62" s="61"/>
      <c r="T62" s="61"/>
      <c r="U62" s="61"/>
      <c r="V62" s="65"/>
      <c r="W62" s="65"/>
      <c r="X62" s="65"/>
      <c r="Y62" s="65"/>
      <c r="Z62" s="65"/>
      <c r="AA62" s="65"/>
      <c r="AB62" s="65"/>
      <c r="AC62" s="65"/>
      <c r="AD62" s="65"/>
    </row>
    <row r="63" spans="1:30" ht="86.25" thickBot="1">
      <c r="A63" s="179">
        <v>15</v>
      </c>
      <c r="B63" s="433"/>
      <c r="C63" s="334"/>
      <c r="D63" s="318" t="s">
        <v>220</v>
      </c>
      <c r="E63" s="203" t="s">
        <v>329</v>
      </c>
      <c r="F63" s="203" t="s">
        <v>190</v>
      </c>
      <c r="G63" s="203" t="s">
        <v>189</v>
      </c>
      <c r="H63" s="254" t="s">
        <v>191</v>
      </c>
      <c r="I63" s="300"/>
      <c r="J63" s="175" t="s">
        <v>48</v>
      </c>
      <c r="K63" s="61"/>
      <c r="L63" s="66"/>
      <c r="M63" s="62"/>
      <c r="N63" s="62"/>
      <c r="O63" s="61"/>
      <c r="P63" s="61"/>
      <c r="Q63" s="61"/>
      <c r="R63" s="61"/>
      <c r="S63" s="61"/>
      <c r="T63" s="61"/>
      <c r="U63" s="61"/>
      <c r="V63" s="65"/>
      <c r="W63" s="65"/>
      <c r="X63" s="65"/>
      <c r="Y63" s="65"/>
      <c r="Z63" s="65"/>
      <c r="AA63" s="65"/>
      <c r="AB63" s="65"/>
      <c r="AC63" s="65"/>
      <c r="AD63" s="65"/>
    </row>
    <row r="64" spans="1:30" ht="86.25" thickBot="1">
      <c r="A64" s="179">
        <v>16</v>
      </c>
      <c r="B64" s="434"/>
      <c r="C64" s="333"/>
      <c r="D64" s="303" t="s">
        <v>221</v>
      </c>
      <c r="E64" s="203" t="s">
        <v>329</v>
      </c>
      <c r="F64" s="203" t="s">
        <v>222</v>
      </c>
      <c r="G64" s="203" t="s">
        <v>189</v>
      </c>
      <c r="H64" s="254" t="s">
        <v>49</v>
      </c>
      <c r="I64" s="279"/>
      <c r="J64" s="175" t="s">
        <v>48</v>
      </c>
      <c r="K64" s="61"/>
      <c r="L64" s="61"/>
      <c r="M64" s="66"/>
      <c r="N64" s="62"/>
      <c r="O64" s="61"/>
      <c r="P64" s="61"/>
      <c r="Q64" s="61"/>
      <c r="R64" s="61"/>
      <c r="S64" s="61"/>
      <c r="T64" s="61"/>
      <c r="U64" s="61"/>
      <c r="V64" s="65"/>
      <c r="W64" s="65"/>
      <c r="X64" s="65"/>
      <c r="Y64" s="65"/>
      <c r="Z64" s="65"/>
      <c r="AA64" s="65"/>
      <c r="AB64" s="65"/>
      <c r="AC64" s="65"/>
      <c r="AD64" s="65"/>
    </row>
    <row r="65" spans="1:30" s="400" customFormat="1" ht="15.75" thickBot="1">
      <c r="A65" s="387"/>
      <c r="B65" s="388"/>
      <c r="C65" s="389"/>
      <c r="D65" s="390"/>
      <c r="E65" s="391"/>
      <c r="F65" s="392"/>
      <c r="G65" s="392"/>
      <c r="H65" s="393"/>
      <c r="I65" s="394"/>
      <c r="J65" s="395"/>
      <c r="K65" s="396"/>
      <c r="L65" s="396"/>
      <c r="M65" s="397"/>
      <c r="N65" s="398"/>
      <c r="O65" s="396"/>
      <c r="P65" s="396"/>
      <c r="Q65" s="396"/>
      <c r="R65" s="396"/>
      <c r="S65" s="396"/>
      <c r="T65" s="396"/>
      <c r="U65" s="396"/>
      <c r="V65" s="399"/>
      <c r="W65" s="399"/>
      <c r="X65" s="399"/>
      <c r="Y65" s="399"/>
      <c r="Z65" s="399"/>
      <c r="AA65" s="399"/>
      <c r="AB65" s="399"/>
      <c r="AC65" s="399"/>
      <c r="AD65" s="399"/>
    </row>
    <row r="66" spans="1:30" ht="57.75" thickBot="1">
      <c r="A66" s="179">
        <v>1</v>
      </c>
      <c r="B66" s="430" t="s">
        <v>223</v>
      </c>
      <c r="C66" s="334"/>
      <c r="D66" s="304" t="s">
        <v>224</v>
      </c>
      <c r="E66" s="239" t="s">
        <v>330</v>
      </c>
      <c r="F66" s="203" t="s">
        <v>225</v>
      </c>
      <c r="G66" s="203" t="s">
        <v>189</v>
      </c>
      <c r="H66" s="254" t="s">
        <v>49</v>
      </c>
      <c r="I66" s="279"/>
      <c r="J66" s="175" t="s">
        <v>48</v>
      </c>
      <c r="K66" s="61"/>
      <c r="L66" s="61"/>
      <c r="M66" s="62"/>
      <c r="N66" s="62"/>
      <c r="O66" s="61"/>
      <c r="P66" s="61"/>
      <c r="Q66" s="61"/>
      <c r="R66" s="61"/>
      <c r="S66" s="61"/>
      <c r="T66" s="61"/>
      <c r="U66" s="61"/>
      <c r="V66" s="65"/>
      <c r="W66" s="65"/>
      <c r="X66" s="65"/>
      <c r="Y66" s="65"/>
      <c r="Z66" s="65"/>
      <c r="AA66" s="65"/>
      <c r="AB66" s="65"/>
      <c r="AC66" s="65"/>
      <c r="AD66" s="65"/>
    </row>
    <row r="67" spans="1:30" ht="57.75" thickBot="1">
      <c r="A67" s="179">
        <v>2</v>
      </c>
      <c r="B67" s="431"/>
      <c r="C67" s="333"/>
      <c r="D67" s="319" t="s">
        <v>226</v>
      </c>
      <c r="E67" s="239" t="s">
        <v>330</v>
      </c>
      <c r="F67" s="203" t="s">
        <v>227</v>
      </c>
      <c r="G67" s="203" t="s">
        <v>189</v>
      </c>
      <c r="H67" s="254" t="s">
        <v>49</v>
      </c>
      <c r="I67" s="279"/>
      <c r="J67" s="175" t="s">
        <v>48</v>
      </c>
      <c r="K67" s="61"/>
      <c r="L67" s="61"/>
      <c r="M67" s="62"/>
      <c r="N67" s="62"/>
      <c r="O67" s="61"/>
      <c r="P67" s="61"/>
      <c r="Q67" s="61"/>
      <c r="R67" s="61"/>
      <c r="S67" s="61"/>
      <c r="T67" s="61"/>
      <c r="U67" s="61"/>
      <c r="V67" s="65"/>
      <c r="W67" s="65"/>
      <c r="X67" s="65"/>
      <c r="Y67" s="65"/>
      <c r="Z67" s="65"/>
      <c r="AA67" s="65"/>
      <c r="AB67" s="65"/>
      <c r="AC67" s="65"/>
      <c r="AD67" s="65"/>
    </row>
    <row r="68" spans="1:30" ht="57.75" thickBot="1">
      <c r="A68" s="179">
        <v>3</v>
      </c>
      <c r="B68" s="432"/>
      <c r="C68" s="334"/>
      <c r="D68" s="318" t="s">
        <v>228</v>
      </c>
      <c r="E68" s="239" t="s">
        <v>330</v>
      </c>
      <c r="F68" s="56" t="s">
        <v>229</v>
      </c>
      <c r="G68" s="203" t="s">
        <v>189</v>
      </c>
      <c r="H68" s="254" t="s">
        <v>49</v>
      </c>
      <c r="I68" s="279"/>
      <c r="J68" s="175" t="s">
        <v>48</v>
      </c>
      <c r="K68" s="61"/>
      <c r="L68" s="66"/>
      <c r="M68" s="62"/>
      <c r="N68" s="62"/>
      <c r="O68" s="61"/>
      <c r="P68" s="61"/>
      <c r="Q68" s="61"/>
      <c r="R68" s="61"/>
      <c r="S68" s="61"/>
      <c r="T68" s="61"/>
      <c r="U68" s="61"/>
      <c r="V68" s="65"/>
      <c r="W68" s="65"/>
      <c r="X68" s="65"/>
      <c r="Y68" s="65"/>
      <c r="Z68" s="65"/>
      <c r="AA68" s="65"/>
      <c r="AB68" s="65"/>
      <c r="AC68" s="65"/>
      <c r="AD68" s="65"/>
    </row>
    <row r="69" spans="1:30" ht="16.5" thickBot="1">
      <c r="A69" s="179"/>
      <c r="B69" s="326"/>
      <c r="C69" s="334"/>
      <c r="D69" s="318"/>
      <c r="E69" s="355"/>
      <c r="F69" s="240"/>
      <c r="G69" s="203"/>
      <c r="H69" s="254"/>
      <c r="I69" s="279"/>
      <c r="J69" s="175"/>
      <c r="K69" s="61"/>
      <c r="L69" s="66"/>
      <c r="M69" s="62"/>
      <c r="N69" s="62"/>
      <c r="O69" s="61"/>
      <c r="P69" s="61"/>
      <c r="Q69" s="61"/>
      <c r="R69" s="61"/>
      <c r="S69" s="61"/>
      <c r="T69" s="61"/>
      <c r="U69" s="61"/>
      <c r="V69" s="65"/>
      <c r="W69" s="65"/>
      <c r="X69" s="65"/>
      <c r="Y69" s="65"/>
      <c r="Z69" s="65"/>
      <c r="AA69" s="65"/>
      <c r="AB69" s="65"/>
      <c r="AC69" s="65"/>
      <c r="AD69" s="65"/>
    </row>
    <row r="70" spans="1:30" ht="16.5" thickBot="1">
      <c r="A70" s="179"/>
      <c r="B70" s="307" t="s">
        <v>230</v>
      </c>
      <c r="C70" s="333"/>
      <c r="D70" s="319"/>
      <c r="E70" s="356"/>
      <c r="F70" s="203"/>
      <c r="G70" s="203"/>
      <c r="H70" s="254"/>
      <c r="I70" s="279"/>
      <c r="J70" s="64"/>
      <c r="K70" s="61"/>
      <c r="L70" s="61"/>
      <c r="M70" s="62"/>
      <c r="N70" s="62"/>
      <c r="O70" s="61"/>
      <c r="P70" s="61"/>
      <c r="Q70" s="61"/>
      <c r="R70" s="61"/>
      <c r="S70" s="61"/>
      <c r="T70" s="61"/>
      <c r="U70" s="61"/>
      <c r="V70" s="65"/>
      <c r="W70" s="65"/>
      <c r="X70" s="65"/>
      <c r="Y70" s="65"/>
      <c r="Z70" s="65"/>
      <c r="AA70" s="65"/>
      <c r="AB70" s="65"/>
      <c r="AC70" s="65"/>
      <c r="AD70" s="65"/>
    </row>
    <row r="71" spans="1:30" ht="16.5" thickBot="1">
      <c r="A71" s="179"/>
      <c r="B71" s="307"/>
      <c r="C71" s="333"/>
      <c r="D71" s="319"/>
      <c r="E71" s="356"/>
      <c r="F71" s="203"/>
      <c r="G71" s="203"/>
      <c r="H71" s="254"/>
      <c r="I71" s="279"/>
      <c r="J71" s="64"/>
      <c r="K71" s="61"/>
      <c r="L71" s="66"/>
      <c r="M71" s="62"/>
      <c r="N71" s="62"/>
      <c r="O71" s="61"/>
      <c r="P71" s="61"/>
      <c r="Q71" s="61"/>
      <c r="R71" s="61"/>
      <c r="S71" s="61"/>
      <c r="T71" s="61"/>
      <c r="U71" s="61"/>
      <c r="V71" s="65"/>
      <c r="W71" s="65"/>
      <c r="X71" s="65"/>
      <c r="Y71" s="65"/>
      <c r="Z71" s="65"/>
      <c r="AA71" s="65"/>
      <c r="AB71" s="65"/>
      <c r="AC71" s="65"/>
      <c r="AD71" s="65"/>
    </row>
    <row r="72" spans="1:30" ht="16.5" thickBot="1">
      <c r="A72" s="179"/>
      <c r="B72" s="307"/>
      <c r="C72" s="333"/>
      <c r="D72" s="319"/>
      <c r="E72" s="356"/>
      <c r="F72" s="203"/>
      <c r="G72" s="203"/>
      <c r="H72" s="254"/>
      <c r="I72" s="279"/>
      <c r="J72" s="64"/>
      <c r="K72" s="61"/>
      <c r="L72" s="61"/>
      <c r="M72" s="62"/>
      <c r="N72" s="62"/>
      <c r="O72" s="61"/>
      <c r="P72" s="61"/>
      <c r="Q72" s="61"/>
      <c r="R72" s="61"/>
      <c r="S72" s="61"/>
      <c r="T72" s="61"/>
      <c r="U72" s="61"/>
      <c r="V72" s="65"/>
      <c r="W72" s="65"/>
      <c r="X72" s="65"/>
      <c r="Y72" s="65"/>
      <c r="Z72" s="65"/>
      <c r="AA72" s="65"/>
      <c r="AB72" s="65"/>
      <c r="AC72" s="65"/>
      <c r="AD72" s="65"/>
    </row>
    <row r="73" spans="1:30" ht="16.5" thickBot="1">
      <c r="A73" s="179"/>
      <c r="B73" s="307"/>
      <c r="C73" s="333"/>
      <c r="D73" s="319"/>
      <c r="E73" s="356"/>
      <c r="F73" s="203"/>
      <c r="G73" s="203"/>
      <c r="H73" s="254"/>
      <c r="I73" s="279"/>
      <c r="J73" s="64"/>
      <c r="K73" s="61"/>
      <c r="L73" s="61"/>
      <c r="M73" s="62"/>
      <c r="N73" s="62"/>
      <c r="O73" s="61"/>
      <c r="P73" s="61"/>
      <c r="Q73" s="61"/>
      <c r="R73" s="61"/>
      <c r="S73" s="61"/>
      <c r="T73" s="61"/>
      <c r="U73" s="61"/>
      <c r="V73" s="65"/>
      <c r="W73" s="65"/>
      <c r="X73" s="65"/>
      <c r="Y73" s="65"/>
      <c r="Z73" s="65"/>
      <c r="AA73" s="65"/>
      <c r="AB73" s="65"/>
      <c r="AC73" s="65"/>
      <c r="AD73" s="65"/>
    </row>
    <row r="74" spans="1:30" ht="16.5" thickBot="1">
      <c r="A74" s="179"/>
      <c r="B74" s="307"/>
      <c r="C74" s="333"/>
      <c r="D74" s="319"/>
      <c r="E74" s="356"/>
      <c r="F74" s="203"/>
      <c r="G74" s="203"/>
      <c r="H74" s="254"/>
      <c r="I74" s="279"/>
      <c r="J74" s="64"/>
      <c r="K74" s="61"/>
      <c r="L74" s="61"/>
      <c r="M74" s="62"/>
      <c r="N74" s="62"/>
      <c r="O74" s="61"/>
      <c r="P74" s="61"/>
      <c r="Q74" s="61"/>
      <c r="R74" s="61"/>
      <c r="S74" s="61"/>
      <c r="T74" s="61"/>
      <c r="U74" s="61"/>
      <c r="V74" s="65"/>
      <c r="W74" s="65"/>
      <c r="X74" s="65"/>
      <c r="Y74" s="65"/>
      <c r="Z74" s="65"/>
      <c r="AA74" s="65"/>
      <c r="AB74" s="65"/>
      <c r="AC74" s="65"/>
      <c r="AD74" s="65"/>
    </row>
    <row r="75" spans="1:30" ht="16.5" thickBot="1">
      <c r="A75" s="179"/>
      <c r="B75" s="307"/>
      <c r="C75" s="333"/>
      <c r="D75" s="319"/>
      <c r="E75" s="356"/>
      <c r="F75" s="56"/>
      <c r="G75" s="56"/>
      <c r="H75" s="254"/>
      <c r="I75" s="279"/>
      <c r="J75" s="64"/>
      <c r="K75" s="61"/>
      <c r="L75" s="62"/>
      <c r="M75" s="62"/>
      <c r="N75" s="62"/>
      <c r="O75" s="61"/>
      <c r="P75" s="61"/>
      <c r="Q75" s="61"/>
      <c r="R75" s="61"/>
      <c r="S75" s="61"/>
      <c r="T75" s="61"/>
      <c r="U75" s="61"/>
      <c r="V75" s="65"/>
      <c r="W75" s="65"/>
      <c r="X75" s="65"/>
      <c r="Y75" s="65"/>
      <c r="Z75" s="65"/>
      <c r="AA75" s="65"/>
      <c r="AB75" s="65"/>
      <c r="AC75" s="65"/>
      <c r="AD75" s="65"/>
    </row>
    <row r="76" spans="1:30" ht="16.5" thickBot="1">
      <c r="A76" s="179"/>
      <c r="B76" s="307"/>
      <c r="C76" s="333"/>
      <c r="D76" s="319"/>
      <c r="E76" s="356"/>
      <c r="F76" s="58"/>
      <c r="G76" s="58"/>
      <c r="H76" s="257"/>
      <c r="I76" s="280"/>
      <c r="J76" s="64"/>
      <c r="K76" s="62"/>
      <c r="L76" s="66"/>
      <c r="M76" s="62"/>
      <c r="N76" s="62"/>
      <c r="O76" s="61"/>
      <c r="P76" s="61"/>
      <c r="Q76" s="61"/>
      <c r="R76" s="61"/>
      <c r="S76" s="61"/>
      <c r="T76" s="61"/>
      <c r="U76" s="61"/>
      <c r="V76" s="65"/>
      <c r="W76" s="65"/>
      <c r="X76" s="65"/>
      <c r="Y76" s="65"/>
      <c r="Z76" s="65"/>
      <c r="AA76" s="65"/>
      <c r="AB76" s="65"/>
      <c r="AC76" s="65"/>
      <c r="AD76" s="65"/>
    </row>
    <row r="77" spans="1:30" ht="16.5" thickBot="1">
      <c r="A77" s="179"/>
      <c r="B77" s="307"/>
      <c r="C77" s="333"/>
      <c r="D77" s="320"/>
      <c r="E77" s="357"/>
      <c r="F77" s="203"/>
      <c r="G77" s="203"/>
      <c r="H77" s="254"/>
      <c r="I77" s="279"/>
      <c r="J77" s="64"/>
      <c r="K77" s="61"/>
      <c r="L77" s="61"/>
      <c r="M77" s="62"/>
      <c r="N77" s="62"/>
      <c r="O77" s="61"/>
      <c r="P77" s="61"/>
      <c r="Q77" s="61"/>
      <c r="R77" s="61"/>
      <c r="S77" s="61"/>
      <c r="T77" s="61"/>
      <c r="U77" s="61"/>
      <c r="V77" s="65"/>
      <c r="W77" s="65"/>
      <c r="X77" s="65"/>
      <c r="Y77" s="65"/>
      <c r="Z77" s="65"/>
      <c r="AA77" s="65"/>
      <c r="AB77" s="65"/>
      <c r="AC77" s="65"/>
      <c r="AD77" s="65"/>
    </row>
    <row r="78" spans="1:30" ht="16.5" thickBot="1">
      <c r="A78" s="179"/>
      <c r="B78" s="307"/>
      <c r="C78" s="333"/>
      <c r="D78" s="180"/>
      <c r="E78" s="358"/>
      <c r="F78" s="203"/>
      <c r="G78" s="203"/>
      <c r="H78" s="254"/>
      <c r="I78" s="279"/>
      <c r="J78" s="64"/>
      <c r="K78" s="61"/>
      <c r="L78" s="66"/>
      <c r="M78" s="61"/>
      <c r="N78" s="62"/>
      <c r="O78" s="61"/>
      <c r="P78" s="61"/>
      <c r="Q78" s="61"/>
      <c r="R78" s="61"/>
      <c r="S78" s="61"/>
      <c r="T78" s="61"/>
      <c r="U78" s="61"/>
      <c r="V78" s="65"/>
      <c r="W78" s="65"/>
      <c r="X78" s="65"/>
      <c r="Y78" s="65"/>
      <c r="Z78" s="65"/>
      <c r="AA78" s="65"/>
      <c r="AB78" s="65"/>
      <c r="AC78" s="65"/>
      <c r="AD78" s="65"/>
    </row>
    <row r="79" spans="1:30" ht="16.5" thickBot="1">
      <c r="A79" s="179"/>
      <c r="B79" s="307"/>
      <c r="C79" s="334"/>
      <c r="D79" s="346"/>
      <c r="E79" s="359"/>
      <c r="F79" s="239"/>
      <c r="G79" s="203"/>
      <c r="H79" s="254"/>
      <c r="I79" s="279"/>
      <c r="J79" s="64"/>
      <c r="K79" s="61"/>
      <c r="L79" s="61"/>
      <c r="M79" s="62"/>
      <c r="N79" s="62"/>
      <c r="O79" s="61"/>
      <c r="P79" s="61"/>
      <c r="Q79" s="61"/>
      <c r="R79" s="61"/>
      <c r="S79" s="61"/>
      <c r="T79" s="61"/>
      <c r="U79" s="61"/>
      <c r="V79" s="65"/>
      <c r="W79" s="65"/>
      <c r="X79" s="65"/>
      <c r="Y79" s="65"/>
      <c r="Z79" s="65"/>
      <c r="AA79" s="65"/>
      <c r="AB79" s="65"/>
      <c r="AC79" s="65"/>
      <c r="AD79" s="65"/>
    </row>
    <row r="80" spans="1:30" ht="16.5" thickBot="1">
      <c r="A80" s="179"/>
      <c r="B80" s="307"/>
      <c r="C80" s="334"/>
      <c r="D80" s="347"/>
      <c r="E80" s="360"/>
      <c r="F80" s="239"/>
      <c r="G80" s="203"/>
      <c r="H80" s="254"/>
      <c r="I80" s="279"/>
      <c r="J80" s="64"/>
      <c r="K80" s="61"/>
      <c r="L80" s="61"/>
      <c r="M80" s="62"/>
      <c r="N80" s="62"/>
      <c r="O80" s="61"/>
      <c r="P80" s="61"/>
      <c r="Q80" s="61"/>
      <c r="R80" s="61"/>
      <c r="S80" s="61"/>
      <c r="T80" s="61"/>
      <c r="U80" s="61"/>
      <c r="V80" s="65"/>
      <c r="W80" s="65"/>
      <c r="X80" s="65"/>
      <c r="Y80" s="65"/>
      <c r="Z80" s="65"/>
      <c r="AA80" s="65"/>
      <c r="AB80" s="65"/>
      <c r="AC80" s="65"/>
      <c r="AD80" s="65"/>
    </row>
    <row r="81" spans="1:30" ht="16.5" thickBot="1">
      <c r="A81" s="179"/>
      <c r="B81" s="307"/>
      <c r="C81" s="334"/>
      <c r="D81" s="347"/>
      <c r="E81" s="360"/>
      <c r="F81" s="239"/>
      <c r="G81" s="203"/>
      <c r="H81" s="254"/>
      <c r="I81" s="279"/>
      <c r="J81" s="64"/>
      <c r="K81" s="61"/>
      <c r="L81" s="61"/>
      <c r="M81" s="62"/>
      <c r="N81" s="62"/>
      <c r="O81" s="61"/>
      <c r="P81" s="61"/>
      <c r="Q81" s="61"/>
      <c r="R81" s="61"/>
      <c r="S81" s="61"/>
      <c r="T81" s="61"/>
      <c r="U81" s="61"/>
      <c r="V81" s="65"/>
      <c r="W81" s="65"/>
      <c r="X81" s="65"/>
      <c r="Y81" s="65"/>
      <c r="Z81" s="65"/>
      <c r="AA81" s="65"/>
      <c r="AB81" s="65"/>
      <c r="AC81" s="65"/>
      <c r="AD81" s="65"/>
    </row>
    <row r="82" spans="1:30" ht="16.5" thickBot="1">
      <c r="A82" s="179"/>
      <c r="B82" s="307"/>
      <c r="C82" s="334"/>
      <c r="D82" s="347"/>
      <c r="E82" s="360"/>
      <c r="F82" s="240"/>
      <c r="G82" s="56"/>
      <c r="H82" s="254"/>
      <c r="I82" s="279"/>
      <c r="J82" s="69"/>
      <c r="K82" s="61"/>
      <c r="L82" s="68"/>
      <c r="M82" s="62"/>
      <c r="N82" s="62"/>
      <c r="O82" s="181"/>
      <c r="P82" s="61"/>
      <c r="Q82" s="61"/>
      <c r="R82" s="61"/>
      <c r="S82" s="61"/>
      <c r="T82" s="61"/>
      <c r="U82" s="61"/>
      <c r="V82" s="65"/>
      <c r="W82" s="65"/>
      <c r="X82" s="65"/>
      <c r="Y82" s="65"/>
      <c r="Z82" s="65"/>
      <c r="AA82" s="65"/>
      <c r="AB82" s="65"/>
      <c r="AC82" s="65"/>
      <c r="AD82" s="65"/>
    </row>
    <row r="83" spans="1:30" ht="16.5" thickBot="1">
      <c r="A83" s="179"/>
      <c r="B83" s="307"/>
      <c r="C83" s="334"/>
      <c r="D83" s="347"/>
      <c r="E83" s="360"/>
      <c r="F83" s="241"/>
      <c r="G83" s="213"/>
      <c r="H83" s="258"/>
      <c r="I83" s="281"/>
      <c r="J83" s="69"/>
      <c r="K83" s="68"/>
      <c r="L83" s="71"/>
      <c r="M83" s="68"/>
      <c r="N83" s="182"/>
      <c r="O83" s="70"/>
      <c r="P83" s="70"/>
      <c r="Q83" s="70"/>
      <c r="R83" s="70"/>
      <c r="S83" s="70"/>
      <c r="T83" s="70"/>
      <c r="U83" s="70"/>
      <c r="V83" s="43"/>
      <c r="W83" s="43"/>
      <c r="X83" s="43"/>
      <c r="Y83" s="43"/>
      <c r="Z83" s="43"/>
      <c r="AA83" s="43"/>
      <c r="AB83" s="43"/>
      <c r="AC83" s="43"/>
      <c r="AD83" s="43"/>
    </row>
    <row r="84" spans="1:30" ht="16.5" thickBot="1">
      <c r="A84" s="179"/>
      <c r="B84" s="307"/>
      <c r="C84" s="334"/>
      <c r="D84" s="347"/>
      <c r="E84" s="360"/>
      <c r="F84" s="241"/>
      <c r="G84" s="216"/>
      <c r="H84" s="259"/>
      <c r="I84" s="146"/>
      <c r="J84" s="73"/>
      <c r="K84" s="70"/>
      <c r="L84" s="74"/>
      <c r="M84" s="91"/>
      <c r="N84" s="76"/>
      <c r="O84" s="70"/>
      <c r="P84" s="70"/>
      <c r="Q84" s="70"/>
      <c r="R84" s="70"/>
      <c r="S84" s="70"/>
      <c r="T84" s="70"/>
      <c r="U84" s="70"/>
      <c r="V84" s="43"/>
      <c r="W84" s="43"/>
      <c r="X84" s="43"/>
      <c r="Y84" s="43"/>
      <c r="Z84" s="43"/>
      <c r="AA84" s="43"/>
      <c r="AB84" s="43"/>
      <c r="AC84" s="43"/>
      <c r="AD84" s="43"/>
    </row>
    <row r="85" spans="1:30" ht="16.5" thickBot="1">
      <c r="A85" s="179"/>
      <c r="B85" s="307"/>
      <c r="C85" s="334"/>
      <c r="D85" s="347"/>
      <c r="E85" s="360"/>
      <c r="F85" s="242"/>
      <c r="G85" s="30"/>
      <c r="H85" s="260"/>
      <c r="I85" s="282"/>
      <c r="J85" s="73"/>
      <c r="K85" s="72"/>
      <c r="L85" s="75"/>
      <c r="M85" s="76"/>
      <c r="N85" s="76"/>
      <c r="O85" s="70"/>
      <c r="P85" s="70"/>
      <c r="Q85" s="70"/>
      <c r="R85" s="70"/>
      <c r="S85" s="70"/>
      <c r="T85" s="70"/>
      <c r="U85" s="70"/>
      <c r="V85" s="43"/>
      <c r="W85" s="43"/>
      <c r="X85" s="43"/>
      <c r="Y85" s="43"/>
      <c r="Z85" s="43"/>
      <c r="AA85" s="43"/>
      <c r="AB85" s="43"/>
      <c r="AC85" s="43"/>
      <c r="AD85" s="43"/>
    </row>
    <row r="86" spans="1:30" ht="16.5" thickBot="1">
      <c r="A86" s="179"/>
      <c r="B86" s="307"/>
      <c r="C86" s="334"/>
      <c r="D86" s="347"/>
      <c r="E86" s="360"/>
      <c r="F86" s="242"/>
      <c r="G86" s="30"/>
      <c r="H86" s="260"/>
      <c r="I86" s="282"/>
      <c r="J86" s="73"/>
      <c r="K86" s="72"/>
      <c r="L86" s="75"/>
      <c r="M86" s="76"/>
      <c r="N86" s="76"/>
      <c r="O86" s="70"/>
      <c r="P86" s="70"/>
      <c r="Q86" s="70"/>
      <c r="R86" s="70"/>
      <c r="S86" s="70"/>
      <c r="T86" s="70"/>
      <c r="U86" s="70"/>
      <c r="V86" s="43"/>
      <c r="W86" s="43"/>
      <c r="X86" s="43"/>
      <c r="Y86" s="43"/>
      <c r="Z86" s="43"/>
      <c r="AA86" s="43"/>
      <c r="AB86" s="43"/>
      <c r="AC86" s="43"/>
      <c r="AD86" s="43"/>
    </row>
    <row r="87" spans="1:30" ht="16.5" thickBot="1">
      <c r="A87" s="179"/>
      <c r="B87" s="307"/>
      <c r="C87" s="334"/>
      <c r="D87" s="347"/>
      <c r="E87" s="360"/>
      <c r="F87" s="243"/>
      <c r="G87" s="30"/>
      <c r="H87" s="260"/>
      <c r="I87" s="282"/>
      <c r="J87" s="73"/>
      <c r="K87" s="72"/>
      <c r="L87" s="75"/>
      <c r="M87" s="76"/>
      <c r="N87" s="76"/>
      <c r="O87" s="70"/>
      <c r="P87" s="70"/>
      <c r="Q87" s="70"/>
      <c r="R87" s="70"/>
      <c r="S87" s="70"/>
      <c r="T87" s="70"/>
      <c r="U87" s="70"/>
      <c r="V87" s="43"/>
      <c r="W87" s="43"/>
      <c r="X87" s="43"/>
      <c r="Y87" s="43"/>
      <c r="Z87" s="43"/>
      <c r="AA87" s="43"/>
      <c r="AB87" s="43"/>
      <c r="AC87" s="43"/>
      <c r="AD87" s="43"/>
    </row>
    <row r="88" spans="1:30" ht="16.5" thickBot="1">
      <c r="A88" s="179"/>
      <c r="B88" s="307"/>
      <c r="C88" s="334"/>
      <c r="D88" s="348"/>
      <c r="E88" s="360"/>
      <c r="F88" s="217"/>
      <c r="G88" s="216"/>
      <c r="H88" s="259"/>
      <c r="I88" s="146"/>
      <c r="J88" s="73"/>
      <c r="K88" s="70"/>
      <c r="L88" s="75"/>
      <c r="M88" s="76"/>
      <c r="N88" s="76"/>
      <c r="O88" s="70"/>
      <c r="P88" s="70"/>
      <c r="Q88" s="70"/>
      <c r="R88" s="70"/>
      <c r="S88" s="70"/>
      <c r="T88" s="70"/>
      <c r="U88" s="70"/>
      <c r="V88" s="43"/>
      <c r="W88" s="43"/>
      <c r="X88" s="43"/>
      <c r="Y88" s="43"/>
      <c r="Z88" s="43"/>
      <c r="AA88" s="43"/>
      <c r="AB88" s="43"/>
      <c r="AC88" s="43"/>
      <c r="AD88" s="43"/>
    </row>
    <row r="89" spans="1:30" ht="16.5" thickBot="1">
      <c r="A89" s="179"/>
      <c r="B89" s="307"/>
      <c r="C89" s="334"/>
      <c r="D89" s="246"/>
      <c r="E89" s="361"/>
      <c r="F89" s="241"/>
      <c r="G89" s="30"/>
      <c r="H89" s="260"/>
      <c r="I89" s="282"/>
      <c r="J89" s="73"/>
      <c r="K89" s="72"/>
      <c r="L89" s="74"/>
      <c r="M89" s="75"/>
      <c r="N89" s="76"/>
      <c r="O89" s="70"/>
      <c r="P89" s="70"/>
      <c r="Q89" s="70"/>
      <c r="R89" s="70"/>
      <c r="S89" s="70"/>
      <c r="T89" s="70"/>
      <c r="U89" s="70"/>
      <c r="V89" s="43"/>
      <c r="W89" s="43"/>
      <c r="X89" s="43"/>
      <c r="Y89" s="43"/>
      <c r="Z89" s="43"/>
      <c r="AA89" s="43"/>
      <c r="AB89" s="43"/>
      <c r="AC89" s="43"/>
      <c r="AD89" s="43"/>
    </row>
    <row r="90" spans="1:30" ht="16.5" thickBot="1">
      <c r="A90" s="179"/>
      <c r="B90" s="307"/>
      <c r="C90" s="334"/>
      <c r="D90" s="439"/>
      <c r="E90" s="362"/>
      <c r="F90" s="244"/>
      <c r="G90" s="216"/>
      <c r="H90" s="259"/>
      <c r="I90" s="146"/>
      <c r="J90" s="73"/>
      <c r="K90" s="70"/>
      <c r="L90" s="74"/>
      <c r="M90" s="76"/>
      <c r="N90" s="76"/>
      <c r="O90" s="70"/>
      <c r="P90" s="70"/>
      <c r="Q90" s="70"/>
      <c r="R90" s="70"/>
      <c r="S90" s="70"/>
      <c r="T90" s="70"/>
      <c r="U90" s="70"/>
      <c r="V90" s="43"/>
      <c r="W90" s="43"/>
      <c r="X90" s="43"/>
      <c r="Y90" s="43"/>
      <c r="Z90" s="43"/>
      <c r="AA90" s="43"/>
      <c r="AB90" s="43"/>
      <c r="AC90" s="43"/>
      <c r="AD90" s="43"/>
    </row>
    <row r="91" spans="1:30" ht="16.5" thickBot="1">
      <c r="A91" s="179"/>
      <c r="B91" s="307"/>
      <c r="C91" s="334"/>
      <c r="D91" s="440"/>
      <c r="E91" s="363"/>
      <c r="F91" s="242"/>
      <c r="G91" s="30"/>
      <c r="H91" s="260"/>
      <c r="I91" s="282"/>
      <c r="J91" s="73"/>
      <c r="K91" s="72"/>
      <c r="L91" s="75"/>
      <c r="M91" s="76"/>
      <c r="N91" s="76"/>
      <c r="O91" s="70"/>
      <c r="P91" s="70"/>
      <c r="Q91" s="70"/>
      <c r="R91" s="70"/>
      <c r="S91" s="70"/>
      <c r="T91" s="70"/>
      <c r="U91" s="70"/>
      <c r="V91" s="43"/>
      <c r="W91" s="43"/>
      <c r="X91" s="43"/>
      <c r="Y91" s="43"/>
      <c r="Z91" s="43"/>
      <c r="AA91" s="43"/>
      <c r="AB91" s="43"/>
      <c r="AC91" s="43"/>
      <c r="AD91" s="43"/>
    </row>
    <row r="92" spans="1:30" ht="16.5" thickBot="1">
      <c r="A92" s="179"/>
      <c r="B92" s="307"/>
      <c r="C92" s="334"/>
      <c r="D92" s="247"/>
      <c r="E92" s="364"/>
      <c r="F92" s="242"/>
      <c r="G92" s="216"/>
      <c r="H92" s="259"/>
      <c r="I92" s="146"/>
      <c r="J92" s="73"/>
      <c r="K92" s="70"/>
      <c r="L92" s="75"/>
      <c r="M92" s="70"/>
      <c r="N92" s="76"/>
      <c r="O92" s="70"/>
      <c r="P92" s="70"/>
      <c r="Q92" s="70"/>
      <c r="R92" s="70"/>
      <c r="S92" s="70"/>
      <c r="T92" s="70"/>
      <c r="U92" s="70"/>
      <c r="V92" s="43"/>
      <c r="W92" s="43"/>
      <c r="X92" s="43"/>
      <c r="Y92" s="43"/>
      <c r="Z92" s="43"/>
      <c r="AA92" s="43"/>
      <c r="AB92" s="43"/>
      <c r="AC92" s="43"/>
      <c r="AD92" s="43"/>
    </row>
    <row r="93" spans="1:30" ht="16.5" thickBot="1">
      <c r="A93" s="179"/>
      <c r="B93" s="307"/>
      <c r="C93" s="334"/>
      <c r="D93" s="439"/>
      <c r="E93" s="365"/>
      <c r="F93" s="242"/>
      <c r="G93" s="30"/>
      <c r="H93" s="260"/>
      <c r="I93" s="282"/>
      <c r="J93" s="73"/>
      <c r="K93" s="72"/>
      <c r="L93" s="75"/>
      <c r="M93" s="76"/>
      <c r="N93" s="76"/>
      <c r="O93" s="70"/>
      <c r="P93" s="70"/>
      <c r="Q93" s="70"/>
      <c r="R93" s="70"/>
      <c r="S93" s="70"/>
      <c r="T93" s="70"/>
      <c r="U93" s="70"/>
      <c r="V93" s="43"/>
      <c r="W93" s="43"/>
      <c r="X93" s="43"/>
      <c r="Y93" s="43"/>
      <c r="Z93" s="43"/>
      <c r="AA93" s="43"/>
      <c r="AB93" s="43"/>
      <c r="AC93" s="43"/>
      <c r="AD93" s="43"/>
    </row>
    <row r="94" spans="1:30" ht="16.5" thickBot="1">
      <c r="A94" s="179"/>
      <c r="B94" s="307"/>
      <c r="C94" s="334"/>
      <c r="D94" s="441"/>
      <c r="E94" s="366"/>
      <c r="F94" s="244"/>
      <c r="G94" s="30"/>
      <c r="H94" s="260"/>
      <c r="I94" s="282"/>
      <c r="J94" s="73"/>
      <c r="K94" s="72"/>
      <c r="L94" s="75"/>
      <c r="M94" s="76"/>
      <c r="N94" s="76"/>
      <c r="O94" s="70"/>
      <c r="P94" s="70"/>
      <c r="Q94" s="70"/>
      <c r="R94" s="70"/>
      <c r="S94" s="70"/>
      <c r="T94" s="70"/>
      <c r="U94" s="70"/>
      <c r="V94" s="43"/>
      <c r="W94" s="43"/>
      <c r="X94" s="43"/>
      <c r="Y94" s="43"/>
      <c r="Z94" s="43"/>
      <c r="AA94" s="43"/>
      <c r="AB94" s="43"/>
      <c r="AC94" s="43"/>
      <c r="AD94" s="43"/>
    </row>
    <row r="95" spans="1:30" ht="16.5" thickBot="1">
      <c r="A95" s="179"/>
      <c r="B95" s="307"/>
      <c r="C95" s="334"/>
      <c r="D95" s="441"/>
      <c r="E95" s="366"/>
      <c r="F95" s="242"/>
      <c r="G95" s="30"/>
      <c r="H95" s="260"/>
      <c r="I95" s="282"/>
      <c r="J95" s="73"/>
      <c r="K95" s="72"/>
      <c r="L95" s="75"/>
      <c r="M95" s="76"/>
      <c r="N95" s="76"/>
      <c r="O95" s="70"/>
      <c r="P95" s="70"/>
      <c r="Q95" s="70"/>
      <c r="R95" s="70"/>
      <c r="S95" s="70"/>
      <c r="T95" s="70"/>
      <c r="U95" s="70"/>
      <c r="V95" s="43"/>
      <c r="W95" s="43"/>
      <c r="X95" s="43"/>
      <c r="Y95" s="43"/>
      <c r="Z95" s="43"/>
      <c r="AA95" s="43"/>
      <c r="AB95" s="43"/>
      <c r="AC95" s="43"/>
      <c r="AD95" s="43"/>
    </row>
    <row r="96" spans="1:30" ht="16.5" thickBot="1">
      <c r="A96" s="179"/>
      <c r="B96" s="307"/>
      <c r="C96" s="334"/>
      <c r="D96" s="441"/>
      <c r="E96" s="366"/>
      <c r="F96" s="244"/>
      <c r="G96" s="216"/>
      <c r="H96" s="259"/>
      <c r="I96" s="146"/>
      <c r="J96" s="73"/>
      <c r="K96" s="70"/>
      <c r="L96" s="75"/>
      <c r="M96" s="76"/>
      <c r="N96" s="76"/>
      <c r="O96" s="70"/>
      <c r="P96" s="70"/>
      <c r="Q96" s="70"/>
      <c r="R96" s="70"/>
      <c r="S96" s="70"/>
      <c r="T96" s="70"/>
      <c r="U96" s="70"/>
      <c r="V96" s="43"/>
      <c r="W96" s="43"/>
      <c r="X96" s="43"/>
      <c r="Y96" s="43"/>
      <c r="Z96" s="43"/>
      <c r="AA96" s="43"/>
      <c r="AB96" s="43"/>
      <c r="AC96" s="43"/>
      <c r="AD96" s="43"/>
    </row>
    <row r="97" spans="1:30" ht="16.5" thickBot="1">
      <c r="A97" s="179"/>
      <c r="B97" s="307"/>
      <c r="C97" s="334"/>
      <c r="D97" s="441"/>
      <c r="E97" s="366"/>
      <c r="F97" s="217"/>
      <c r="G97" s="228"/>
      <c r="H97" s="261"/>
      <c r="I97" s="283"/>
      <c r="J97" s="73"/>
      <c r="K97" s="75"/>
      <c r="L97" s="75"/>
      <c r="M97" s="76"/>
      <c r="N97" s="76"/>
      <c r="O97" s="70"/>
      <c r="P97" s="70"/>
      <c r="Q97" s="70"/>
      <c r="R97" s="70"/>
      <c r="S97" s="70"/>
      <c r="T97" s="70"/>
      <c r="U97" s="70"/>
      <c r="V97" s="43"/>
      <c r="W97" s="43"/>
      <c r="X97" s="43"/>
      <c r="Y97" s="43"/>
      <c r="Z97" s="43"/>
      <c r="AA97" s="43"/>
      <c r="AB97" s="43"/>
      <c r="AC97" s="43"/>
      <c r="AD97" s="43"/>
    </row>
    <row r="98" spans="1:30" ht="16.5" thickBot="1">
      <c r="A98" s="179"/>
      <c r="B98" s="307"/>
      <c r="C98" s="334"/>
      <c r="D98" s="441"/>
      <c r="E98" s="366"/>
      <c r="F98" s="244"/>
      <c r="G98" s="215"/>
      <c r="H98" s="259"/>
      <c r="I98" s="146"/>
      <c r="J98" s="73"/>
      <c r="K98" s="70"/>
      <c r="L98" s="75"/>
      <c r="M98" s="76"/>
      <c r="N98" s="76"/>
      <c r="O98" s="70"/>
      <c r="P98" s="70"/>
      <c r="Q98" s="70"/>
      <c r="R98" s="70"/>
      <c r="S98" s="70"/>
      <c r="T98" s="70"/>
      <c r="U98" s="70"/>
      <c r="V98" s="43"/>
      <c r="W98" s="43"/>
      <c r="X98" s="43"/>
      <c r="Y98" s="43"/>
      <c r="Z98" s="43"/>
      <c r="AA98" s="43"/>
      <c r="AB98" s="43"/>
      <c r="AC98" s="43"/>
      <c r="AD98" s="43"/>
    </row>
    <row r="99" spans="1:30" ht="16.5" thickBot="1">
      <c r="A99" s="179"/>
      <c r="B99" s="307"/>
      <c r="C99" s="334"/>
      <c r="D99" s="440"/>
      <c r="E99" s="363"/>
      <c r="F99" s="217"/>
      <c r="G99" s="229"/>
      <c r="H99" s="261"/>
      <c r="I99" s="283"/>
      <c r="J99" s="73"/>
      <c r="K99" s="75"/>
      <c r="L99" s="75"/>
      <c r="M99" s="76"/>
      <c r="N99" s="76"/>
      <c r="O99" s="70"/>
      <c r="P99" s="70"/>
      <c r="Q99" s="70"/>
      <c r="R99" s="70"/>
      <c r="S99" s="70"/>
      <c r="T99" s="70"/>
      <c r="U99" s="70"/>
      <c r="V99" s="43"/>
      <c r="W99" s="43"/>
      <c r="X99" s="43"/>
      <c r="Y99" s="43"/>
      <c r="Z99" s="43"/>
      <c r="AA99" s="43"/>
      <c r="AB99" s="43"/>
      <c r="AC99" s="43"/>
      <c r="AD99" s="43"/>
    </row>
    <row r="100" spans="1:30" ht="16.5" thickBot="1">
      <c r="A100" s="179"/>
      <c r="B100" s="307"/>
      <c r="C100" s="333"/>
      <c r="D100" s="245"/>
      <c r="E100" s="367"/>
      <c r="F100" s="215"/>
      <c r="G100" s="216"/>
      <c r="H100" s="259"/>
      <c r="I100" s="146"/>
      <c r="J100" s="73"/>
      <c r="K100" s="70"/>
      <c r="L100" s="75"/>
      <c r="M100" s="75"/>
      <c r="N100" s="76"/>
      <c r="O100" s="70"/>
      <c r="P100" s="70"/>
      <c r="Q100" s="70"/>
      <c r="R100" s="70"/>
      <c r="S100" s="70"/>
      <c r="T100" s="70"/>
      <c r="U100" s="70"/>
      <c r="V100" s="43"/>
      <c r="W100" s="43"/>
      <c r="X100" s="43"/>
      <c r="Y100" s="43"/>
      <c r="Z100" s="43"/>
      <c r="AA100" s="43"/>
      <c r="AB100" s="43"/>
      <c r="AC100" s="43"/>
      <c r="AD100" s="43"/>
    </row>
    <row r="101" spans="1:30" ht="16.5" thickBot="1">
      <c r="A101" s="179"/>
      <c r="B101" s="307"/>
      <c r="C101" s="333"/>
      <c r="D101" s="442"/>
      <c r="E101" s="368"/>
      <c r="F101" s="217"/>
      <c r="G101" s="217"/>
      <c r="H101" s="261"/>
      <c r="I101" s="283"/>
      <c r="J101" s="73"/>
      <c r="K101" s="75"/>
      <c r="L101" s="75"/>
      <c r="M101" s="76"/>
      <c r="N101" s="76"/>
      <c r="O101" s="70"/>
      <c r="P101" s="70"/>
      <c r="Q101" s="70"/>
      <c r="R101" s="70"/>
      <c r="S101" s="70"/>
      <c r="T101" s="70"/>
      <c r="U101" s="70"/>
      <c r="V101" s="43"/>
      <c r="W101" s="43"/>
      <c r="X101" s="43"/>
      <c r="Y101" s="43"/>
      <c r="Z101" s="43"/>
      <c r="AA101" s="43"/>
      <c r="AB101" s="43"/>
      <c r="AC101" s="43"/>
      <c r="AD101" s="43"/>
    </row>
    <row r="102" spans="1:30" ht="16.5" thickBot="1">
      <c r="A102" s="179"/>
      <c r="B102" s="307"/>
      <c r="C102" s="333"/>
      <c r="D102" s="443"/>
      <c r="F102" s="215"/>
      <c r="G102" s="217"/>
      <c r="H102" s="261"/>
      <c r="I102" s="283"/>
      <c r="J102" s="73"/>
      <c r="K102" s="75"/>
      <c r="L102" s="76"/>
      <c r="M102" s="76"/>
      <c r="N102" s="76"/>
      <c r="O102" s="70"/>
      <c r="P102" s="70"/>
      <c r="Q102" s="70"/>
      <c r="R102" s="70"/>
      <c r="S102" s="70"/>
      <c r="T102" s="70"/>
      <c r="U102" s="70"/>
      <c r="V102" s="43"/>
      <c r="W102" s="43"/>
      <c r="X102" s="43"/>
      <c r="Y102" s="43"/>
      <c r="Z102" s="43"/>
      <c r="AA102" s="43"/>
      <c r="AB102" s="43"/>
      <c r="AC102" s="43"/>
      <c r="AD102" s="43"/>
    </row>
    <row r="103" spans="1:30" ht="16.5" thickBot="1">
      <c r="A103" s="179"/>
      <c r="B103" s="307"/>
      <c r="C103" s="333"/>
      <c r="D103" s="443"/>
      <c r="F103" s="218"/>
      <c r="G103" s="218"/>
      <c r="H103" s="262"/>
      <c r="I103" s="284"/>
      <c r="J103" s="73"/>
      <c r="K103" s="76"/>
      <c r="L103" s="76"/>
      <c r="M103" s="76"/>
      <c r="N103" s="76"/>
      <c r="O103" s="70"/>
      <c r="P103" s="70"/>
      <c r="Q103" s="70"/>
      <c r="R103" s="70"/>
      <c r="S103" s="70"/>
      <c r="T103" s="70"/>
      <c r="U103" s="70"/>
      <c r="V103" s="43"/>
      <c r="W103" s="43"/>
      <c r="X103" s="43"/>
      <c r="Y103" s="43"/>
      <c r="Z103" s="43"/>
      <c r="AA103" s="43"/>
      <c r="AB103" s="43"/>
      <c r="AC103" s="43"/>
      <c r="AD103" s="43"/>
    </row>
    <row r="104" spans="1:30" ht="16.5" thickBot="1">
      <c r="A104" s="179"/>
      <c r="B104" s="307"/>
      <c r="C104" s="333"/>
      <c r="D104" s="443"/>
      <c r="F104" s="218"/>
      <c r="G104" s="218"/>
      <c r="H104" s="262"/>
      <c r="I104" s="284"/>
      <c r="J104" s="73"/>
      <c r="K104" s="76"/>
      <c r="L104" s="76"/>
      <c r="M104" s="76"/>
      <c r="N104" s="76"/>
      <c r="O104" s="70"/>
      <c r="P104" s="70"/>
      <c r="Q104" s="70"/>
      <c r="R104" s="70"/>
      <c r="S104" s="70"/>
      <c r="T104" s="70"/>
      <c r="U104" s="70"/>
      <c r="V104" s="43"/>
      <c r="W104" s="43"/>
      <c r="X104" s="43"/>
      <c r="Y104" s="43"/>
      <c r="Z104" s="43"/>
      <c r="AA104" s="43"/>
      <c r="AB104" s="43"/>
      <c r="AC104" s="43"/>
      <c r="AD104" s="43"/>
    </row>
    <row r="105" spans="1:30" ht="16.5" thickBot="1">
      <c r="A105" s="179"/>
      <c r="B105" s="307"/>
      <c r="C105" s="333"/>
      <c r="D105" s="443"/>
      <c r="F105" s="218"/>
      <c r="G105" s="218"/>
      <c r="H105" s="262"/>
      <c r="I105" s="284"/>
      <c r="J105" s="73"/>
      <c r="K105" s="76"/>
      <c r="L105" s="76"/>
      <c r="M105" s="76"/>
      <c r="N105" s="76"/>
      <c r="O105" s="70"/>
      <c r="P105" s="70"/>
      <c r="Q105" s="70"/>
      <c r="R105" s="70"/>
      <c r="S105" s="70"/>
      <c r="T105" s="70"/>
      <c r="U105" s="70"/>
      <c r="V105" s="43"/>
      <c r="W105" s="43"/>
      <c r="X105" s="43"/>
      <c r="Y105" s="43"/>
      <c r="Z105" s="43"/>
      <c r="AA105" s="43"/>
      <c r="AB105" s="43"/>
      <c r="AC105" s="43"/>
      <c r="AD105" s="43"/>
    </row>
    <row r="106" spans="1:30" ht="16.5" thickBot="1">
      <c r="A106" s="179"/>
      <c r="B106" s="307"/>
      <c r="C106" s="333"/>
      <c r="D106" s="443"/>
      <c r="F106" s="218"/>
      <c r="G106" s="218"/>
      <c r="H106" s="262"/>
      <c r="I106" s="284"/>
      <c r="J106" s="73"/>
      <c r="K106" s="76"/>
      <c r="L106" s="76"/>
      <c r="M106" s="76"/>
      <c r="N106" s="76"/>
      <c r="O106" s="70"/>
      <c r="P106" s="70"/>
      <c r="Q106" s="70"/>
      <c r="R106" s="70"/>
      <c r="S106" s="70"/>
      <c r="T106" s="70"/>
      <c r="U106" s="70"/>
      <c r="V106" s="43"/>
      <c r="W106" s="43"/>
      <c r="X106" s="43"/>
      <c r="Y106" s="43"/>
      <c r="Z106" s="43"/>
      <c r="AA106" s="43"/>
      <c r="AB106" s="43"/>
      <c r="AC106" s="43"/>
      <c r="AD106" s="43"/>
    </row>
    <row r="107" spans="1:30" ht="16.5" thickBot="1">
      <c r="A107" s="179"/>
      <c r="B107" s="307"/>
      <c r="C107" s="333"/>
      <c r="D107" s="443"/>
      <c r="F107" s="218"/>
      <c r="G107" s="218"/>
      <c r="H107" s="262"/>
      <c r="I107" s="284"/>
      <c r="J107" s="73"/>
      <c r="K107" s="76"/>
      <c r="L107" s="76"/>
      <c r="M107" s="76"/>
      <c r="N107" s="76"/>
      <c r="O107" s="70"/>
      <c r="P107" s="70"/>
      <c r="Q107" s="70"/>
      <c r="R107" s="70"/>
      <c r="S107" s="70"/>
      <c r="T107" s="70"/>
      <c r="U107" s="70"/>
      <c r="V107" s="43"/>
      <c r="W107" s="43"/>
      <c r="X107" s="43"/>
      <c r="Y107" s="43"/>
      <c r="Z107" s="43"/>
      <c r="AA107" s="43"/>
      <c r="AB107" s="43"/>
      <c r="AC107" s="43"/>
      <c r="AD107" s="43"/>
    </row>
    <row r="108" spans="1:30" ht="16.5" thickBot="1">
      <c r="A108" s="179"/>
      <c r="B108" s="307"/>
      <c r="C108" s="333"/>
      <c r="D108" s="443"/>
      <c r="F108" s="218"/>
      <c r="G108" s="218"/>
      <c r="H108" s="262"/>
      <c r="I108" s="284"/>
      <c r="J108" s="73"/>
      <c r="K108" s="76"/>
      <c r="L108" s="76"/>
      <c r="M108" s="76"/>
      <c r="N108" s="76"/>
      <c r="O108" s="70"/>
      <c r="P108" s="70"/>
      <c r="Q108" s="70"/>
      <c r="R108" s="70"/>
      <c r="S108" s="70"/>
      <c r="T108" s="70"/>
      <c r="U108" s="70"/>
      <c r="V108" s="43"/>
      <c r="W108" s="43"/>
      <c r="X108" s="43"/>
      <c r="Y108" s="43"/>
      <c r="Z108" s="43"/>
      <c r="AA108" s="43"/>
      <c r="AB108" s="43"/>
      <c r="AC108" s="43"/>
      <c r="AD108" s="43"/>
    </row>
    <row r="109" spans="1:30" ht="16.5" thickBot="1">
      <c r="A109" s="179"/>
      <c r="B109" s="307"/>
      <c r="C109" s="333"/>
      <c r="D109" s="444"/>
      <c r="E109" s="370"/>
      <c r="F109" s="218"/>
      <c r="G109" s="218"/>
      <c r="H109" s="262"/>
      <c r="I109" s="284"/>
      <c r="J109" s="73"/>
      <c r="K109" s="76"/>
      <c r="L109" s="76"/>
      <c r="M109" s="76"/>
      <c r="N109" s="76"/>
      <c r="O109" s="70"/>
      <c r="P109" s="70"/>
      <c r="Q109" s="70"/>
      <c r="R109" s="70"/>
      <c r="S109" s="70"/>
      <c r="T109" s="70"/>
      <c r="U109" s="70"/>
      <c r="V109" s="43"/>
      <c r="W109" s="43"/>
      <c r="X109" s="43"/>
      <c r="Y109" s="43"/>
      <c r="Z109" s="43"/>
      <c r="AA109" s="43"/>
      <c r="AB109" s="43"/>
      <c r="AC109" s="43"/>
      <c r="AD109" s="43"/>
    </row>
    <row r="110" spans="1:30" ht="16.5" thickBot="1">
      <c r="A110" s="179"/>
      <c r="B110" s="307"/>
      <c r="C110" s="333"/>
      <c r="D110" s="233"/>
      <c r="E110" s="371"/>
      <c r="F110" s="218"/>
      <c r="G110" s="218"/>
      <c r="H110" s="262"/>
      <c r="I110" s="284"/>
      <c r="J110" s="73"/>
      <c r="K110" s="76"/>
      <c r="L110" s="76"/>
      <c r="M110" s="76"/>
      <c r="N110" s="76"/>
      <c r="O110" s="70"/>
      <c r="P110" s="70"/>
      <c r="Q110" s="70"/>
      <c r="R110" s="70"/>
      <c r="S110" s="70"/>
      <c r="T110" s="70"/>
      <c r="U110" s="70"/>
      <c r="V110" s="43"/>
      <c r="W110" s="43"/>
      <c r="X110" s="43"/>
      <c r="Y110" s="43"/>
      <c r="Z110" s="43"/>
      <c r="AA110" s="43"/>
      <c r="AB110" s="43"/>
      <c r="AC110" s="43"/>
      <c r="AD110" s="43"/>
    </row>
    <row r="111" spans="1:30" ht="16.5" thickBot="1">
      <c r="A111" s="179"/>
      <c r="B111" s="307"/>
      <c r="C111" s="333"/>
      <c r="D111" s="233"/>
      <c r="E111" s="371"/>
      <c r="F111" s="218"/>
      <c r="G111" s="218"/>
      <c r="H111" s="262"/>
      <c r="I111" s="284"/>
      <c r="J111" s="73"/>
      <c r="K111" s="76"/>
      <c r="L111" s="76"/>
      <c r="M111" s="76"/>
      <c r="N111" s="76"/>
      <c r="O111" s="70"/>
      <c r="P111" s="70"/>
      <c r="Q111" s="70"/>
      <c r="R111" s="70"/>
      <c r="S111" s="70"/>
      <c r="T111" s="70"/>
      <c r="U111" s="70"/>
      <c r="V111" s="43"/>
      <c r="W111" s="43"/>
      <c r="X111" s="43"/>
      <c r="Y111" s="43"/>
      <c r="Z111" s="43"/>
      <c r="AA111" s="43"/>
      <c r="AB111" s="43"/>
      <c r="AC111" s="43"/>
      <c r="AD111" s="43"/>
    </row>
    <row r="112" spans="1:30" ht="16.5" thickBot="1">
      <c r="A112" s="179"/>
      <c r="B112" s="307"/>
      <c r="C112" s="333"/>
      <c r="D112" s="321"/>
      <c r="E112" s="372"/>
      <c r="F112" s="218"/>
      <c r="G112" s="218"/>
      <c r="H112" s="262"/>
      <c r="I112" s="284"/>
      <c r="J112" s="73"/>
      <c r="K112" s="76"/>
      <c r="L112" s="76"/>
      <c r="M112" s="76"/>
      <c r="N112" s="76"/>
      <c r="O112" s="70"/>
      <c r="P112" s="70"/>
      <c r="Q112" s="70"/>
      <c r="R112" s="70"/>
      <c r="S112" s="70"/>
      <c r="T112" s="70"/>
      <c r="U112" s="70"/>
      <c r="V112" s="43"/>
      <c r="W112" s="43"/>
      <c r="X112" s="43"/>
      <c r="Y112" s="43"/>
      <c r="Z112" s="43"/>
      <c r="AA112" s="43"/>
      <c r="AB112" s="43"/>
      <c r="AC112" s="43"/>
      <c r="AD112" s="43"/>
    </row>
    <row r="113" spans="1:30" ht="16.5" thickBot="1">
      <c r="A113" s="179"/>
      <c r="B113" s="307"/>
      <c r="C113" s="333"/>
      <c r="D113" s="413"/>
      <c r="E113" s="373"/>
      <c r="F113" s="219"/>
      <c r="G113" s="218"/>
      <c r="H113" s="262"/>
      <c r="I113" s="284"/>
      <c r="J113" s="73"/>
      <c r="K113" s="76"/>
      <c r="L113" s="76"/>
      <c r="M113" s="76"/>
      <c r="N113" s="76"/>
      <c r="O113" s="70"/>
      <c r="P113" s="70"/>
      <c r="Q113" s="70"/>
      <c r="R113" s="70"/>
      <c r="S113" s="70"/>
      <c r="T113" s="70"/>
      <c r="U113" s="70"/>
      <c r="V113" s="43"/>
      <c r="W113" s="43"/>
      <c r="X113" s="43"/>
      <c r="Y113" s="43"/>
      <c r="Z113" s="43"/>
      <c r="AA113" s="43"/>
      <c r="AB113" s="43"/>
      <c r="AC113" s="43"/>
      <c r="AD113" s="43"/>
    </row>
    <row r="114" spans="1:30" ht="16.5" thickBot="1">
      <c r="A114" s="179"/>
      <c r="B114" s="307"/>
      <c r="C114" s="333"/>
      <c r="D114" s="414"/>
      <c r="E114" s="374"/>
      <c r="F114" s="219"/>
      <c r="G114" s="218"/>
      <c r="H114" s="262"/>
      <c r="I114" s="284"/>
      <c r="J114" s="73"/>
      <c r="K114" s="76"/>
      <c r="L114" s="76"/>
      <c r="M114" s="76"/>
      <c r="N114" s="76"/>
      <c r="O114" s="70"/>
      <c r="P114" s="70"/>
      <c r="Q114" s="70"/>
      <c r="R114" s="70"/>
      <c r="S114" s="70"/>
      <c r="T114" s="70"/>
      <c r="U114" s="70"/>
      <c r="V114" s="43"/>
      <c r="W114" s="43"/>
      <c r="X114" s="43"/>
      <c r="Y114" s="43"/>
      <c r="Z114" s="43"/>
      <c r="AA114" s="43"/>
      <c r="AB114" s="43"/>
      <c r="AC114" s="43"/>
      <c r="AD114" s="43"/>
    </row>
    <row r="115" spans="1:30" ht="16.5" thickBot="1">
      <c r="A115" s="179"/>
      <c r="B115" s="307"/>
      <c r="C115" s="333"/>
      <c r="D115" s="322"/>
      <c r="E115" s="375"/>
      <c r="F115" s="218"/>
      <c r="G115" s="218"/>
      <c r="H115" s="262"/>
      <c r="I115" s="284"/>
      <c r="J115" s="73"/>
      <c r="K115" s="76"/>
      <c r="L115" s="76"/>
      <c r="M115" s="76"/>
      <c r="N115" s="76"/>
      <c r="O115" s="70"/>
      <c r="P115" s="70"/>
      <c r="Q115" s="70"/>
      <c r="R115" s="70"/>
      <c r="S115" s="70"/>
      <c r="T115" s="70"/>
      <c r="U115" s="70"/>
      <c r="V115" s="43"/>
      <c r="W115" s="43"/>
      <c r="X115" s="43"/>
      <c r="Y115" s="43"/>
      <c r="Z115" s="43"/>
      <c r="AA115" s="43"/>
      <c r="AB115" s="43"/>
      <c r="AC115" s="43"/>
      <c r="AD115" s="43"/>
    </row>
    <row r="116" spans="1:30" ht="16.5" thickBot="1">
      <c r="A116" s="179"/>
      <c r="B116" s="307"/>
      <c r="C116" s="333"/>
      <c r="D116" s="233"/>
      <c r="E116" s="371"/>
      <c r="F116" s="218"/>
      <c r="G116" s="218"/>
      <c r="H116" s="262"/>
      <c r="I116" s="284"/>
      <c r="J116" s="73"/>
      <c r="K116" s="76"/>
      <c r="L116" s="76"/>
      <c r="M116" s="76"/>
      <c r="N116" s="76"/>
      <c r="O116" s="70"/>
      <c r="P116" s="70"/>
      <c r="Q116" s="70"/>
      <c r="R116" s="70"/>
      <c r="S116" s="70"/>
      <c r="T116" s="70"/>
      <c r="U116" s="70"/>
      <c r="V116" s="43"/>
      <c r="W116" s="43"/>
      <c r="X116" s="43"/>
      <c r="Y116" s="43"/>
      <c r="Z116" s="43"/>
      <c r="AA116" s="43"/>
      <c r="AB116" s="43"/>
      <c r="AC116" s="43"/>
      <c r="AD116" s="43"/>
    </row>
    <row r="117" spans="1:30" ht="16.5" thickBot="1">
      <c r="A117" s="179"/>
      <c r="B117" s="307"/>
      <c r="C117" s="333"/>
      <c r="D117" s="233"/>
      <c r="E117" s="371"/>
      <c r="F117" s="218"/>
      <c r="G117" s="218"/>
      <c r="H117" s="262"/>
      <c r="I117" s="284"/>
      <c r="J117" s="73"/>
      <c r="K117" s="76"/>
      <c r="L117" s="76"/>
      <c r="M117" s="76"/>
      <c r="N117" s="76"/>
      <c r="O117" s="70"/>
      <c r="P117" s="70"/>
      <c r="Q117" s="70"/>
      <c r="R117" s="70"/>
      <c r="S117" s="70"/>
      <c r="T117" s="70"/>
      <c r="U117" s="70"/>
      <c r="V117" s="43"/>
      <c r="W117" s="43"/>
      <c r="X117" s="43"/>
      <c r="Y117" s="43"/>
      <c r="Z117" s="43"/>
      <c r="AA117" s="43"/>
      <c r="AB117" s="43"/>
      <c r="AC117" s="43"/>
      <c r="AD117" s="43"/>
    </row>
    <row r="118" spans="1:30" ht="16.5" thickBot="1">
      <c r="A118" s="179"/>
      <c r="B118" s="307"/>
      <c r="C118" s="333"/>
      <c r="D118" s="233"/>
      <c r="E118" s="371"/>
      <c r="F118" s="218"/>
      <c r="G118" s="218"/>
      <c r="H118" s="262"/>
      <c r="I118" s="284"/>
      <c r="J118" s="73"/>
      <c r="K118" s="76"/>
      <c r="L118" s="76"/>
      <c r="M118" s="76"/>
      <c r="N118" s="76"/>
      <c r="O118" s="184"/>
      <c r="P118" s="70"/>
      <c r="Q118" s="70"/>
      <c r="R118" s="70"/>
      <c r="S118" s="70"/>
      <c r="T118" s="70"/>
      <c r="U118" s="70"/>
      <c r="V118" s="43"/>
      <c r="W118" s="43"/>
      <c r="X118" s="43"/>
      <c r="Y118" s="43"/>
      <c r="Z118" s="43"/>
      <c r="AA118" s="43"/>
      <c r="AB118" s="43"/>
      <c r="AC118" s="43"/>
      <c r="AD118" s="43"/>
    </row>
    <row r="119" spans="1:30" ht="16.5" thickBot="1">
      <c r="A119" s="179"/>
      <c r="B119" s="307"/>
      <c r="C119" s="333"/>
      <c r="D119" s="233"/>
      <c r="E119" s="371"/>
      <c r="F119" s="218"/>
      <c r="G119" s="218"/>
      <c r="H119" s="262"/>
      <c r="I119" s="284"/>
      <c r="J119" s="73"/>
      <c r="K119" s="76"/>
      <c r="L119" s="76"/>
      <c r="M119" s="76"/>
      <c r="N119" s="76"/>
      <c r="O119" s="70"/>
      <c r="P119" s="70"/>
      <c r="Q119" s="70"/>
      <c r="R119" s="70"/>
      <c r="S119" s="70"/>
      <c r="T119" s="70"/>
      <c r="U119" s="70"/>
      <c r="V119" s="43"/>
      <c r="W119" s="43"/>
      <c r="X119" s="43"/>
      <c r="Y119" s="43"/>
      <c r="Z119" s="43"/>
      <c r="AA119" s="43"/>
      <c r="AB119" s="43"/>
      <c r="AC119" s="43"/>
      <c r="AD119" s="43"/>
    </row>
    <row r="120" spans="1:30" ht="16.5" thickBot="1">
      <c r="A120" s="179"/>
      <c r="B120" s="307"/>
      <c r="C120" s="333"/>
      <c r="D120" s="233"/>
      <c r="E120" s="371"/>
      <c r="F120" s="218"/>
      <c r="G120" s="218"/>
      <c r="H120" s="262"/>
      <c r="I120" s="284"/>
      <c r="J120" s="73"/>
      <c r="K120" s="76"/>
      <c r="L120" s="76"/>
      <c r="M120" s="76"/>
      <c r="N120" s="76"/>
      <c r="O120" s="70"/>
      <c r="P120" s="70"/>
      <c r="Q120" s="70"/>
      <c r="R120" s="70"/>
      <c r="S120" s="70"/>
      <c r="T120" s="70"/>
      <c r="U120" s="70"/>
      <c r="V120" s="43"/>
      <c r="W120" s="43"/>
      <c r="X120" s="43"/>
      <c r="Y120" s="43"/>
      <c r="Z120" s="43"/>
      <c r="AA120" s="43"/>
      <c r="AB120" s="43"/>
      <c r="AC120" s="43"/>
      <c r="AD120" s="43"/>
    </row>
    <row r="121" spans="1:30" ht="16.5" thickBot="1">
      <c r="A121" s="179"/>
      <c r="B121" s="307"/>
      <c r="C121" s="333"/>
      <c r="D121" s="233"/>
      <c r="E121" s="371"/>
      <c r="F121" s="218"/>
      <c r="G121" s="218"/>
      <c r="H121" s="262"/>
      <c r="I121" s="284"/>
      <c r="J121" s="73"/>
      <c r="K121" s="76"/>
      <c r="L121" s="76"/>
      <c r="M121" s="76"/>
      <c r="N121" s="94"/>
      <c r="O121" s="70"/>
      <c r="P121" s="70"/>
      <c r="Q121" s="70"/>
      <c r="R121" s="70"/>
      <c r="S121" s="70"/>
      <c r="T121" s="70"/>
      <c r="U121" s="70"/>
      <c r="V121" s="43"/>
      <c r="W121" s="43"/>
      <c r="X121" s="43"/>
      <c r="Y121" s="43"/>
      <c r="Z121" s="43"/>
      <c r="AA121" s="43"/>
      <c r="AB121" s="43"/>
      <c r="AC121" s="43"/>
      <c r="AD121" s="43"/>
    </row>
    <row r="122" spans="1:30" ht="16.5" thickBot="1">
      <c r="A122" s="179"/>
      <c r="B122" s="307"/>
      <c r="C122" s="333"/>
      <c r="D122" s="233"/>
      <c r="E122" s="371"/>
      <c r="F122" s="218"/>
      <c r="G122" s="218"/>
      <c r="H122" s="262"/>
      <c r="I122" s="284"/>
      <c r="J122" s="73"/>
      <c r="K122" s="76"/>
      <c r="L122" s="76"/>
      <c r="M122" s="76"/>
      <c r="N122" s="76"/>
      <c r="O122" s="70"/>
      <c r="P122" s="70"/>
      <c r="Q122" s="70"/>
      <c r="R122" s="70"/>
      <c r="S122" s="70"/>
      <c r="T122" s="70"/>
      <c r="U122" s="70"/>
      <c r="V122" s="43"/>
      <c r="W122" s="43"/>
      <c r="X122" s="43"/>
      <c r="Y122" s="43"/>
      <c r="Z122" s="43"/>
      <c r="AA122" s="43"/>
      <c r="AB122" s="43"/>
      <c r="AC122" s="43"/>
      <c r="AD122" s="43"/>
    </row>
    <row r="123" spans="1:30" ht="16.5" thickBot="1">
      <c r="A123" s="179"/>
      <c r="B123" s="307"/>
      <c r="C123" s="333"/>
      <c r="D123" s="233"/>
      <c r="E123" s="371"/>
      <c r="F123" s="218"/>
      <c r="G123" s="218"/>
      <c r="H123" s="262"/>
      <c r="I123" s="284"/>
      <c r="J123" s="78"/>
      <c r="K123" s="76"/>
      <c r="L123" s="76"/>
      <c r="M123" s="76"/>
      <c r="N123" s="76"/>
      <c r="O123" s="70"/>
      <c r="P123" s="70"/>
      <c r="Q123" s="70"/>
      <c r="R123" s="70"/>
      <c r="S123" s="70"/>
      <c r="T123" s="70"/>
      <c r="U123" s="70"/>
      <c r="V123" s="43"/>
      <c r="W123" s="43"/>
      <c r="X123" s="43"/>
      <c r="Y123" s="43"/>
      <c r="Z123" s="43"/>
      <c r="AA123" s="43"/>
      <c r="AB123" s="43"/>
      <c r="AC123" s="43"/>
      <c r="AD123" s="43"/>
    </row>
    <row r="124" spans="1:30" ht="16.5" thickBot="1">
      <c r="A124" s="179"/>
      <c r="B124" s="307"/>
      <c r="C124" s="333"/>
      <c r="D124" s="233"/>
      <c r="E124" s="371"/>
      <c r="F124" s="218"/>
      <c r="G124" s="218"/>
      <c r="H124" s="263"/>
      <c r="I124" s="285"/>
      <c r="J124" s="73"/>
      <c r="K124" s="77"/>
      <c r="L124" s="76"/>
      <c r="M124" s="76"/>
      <c r="N124" s="76"/>
      <c r="O124" s="70"/>
      <c r="P124" s="70"/>
      <c r="Q124" s="70"/>
      <c r="R124" s="70"/>
      <c r="S124" s="70"/>
      <c r="T124" s="70"/>
      <c r="U124" s="70"/>
      <c r="V124" s="43"/>
      <c r="W124" s="43"/>
      <c r="X124" s="43"/>
      <c r="Y124" s="43"/>
      <c r="Z124" s="43"/>
      <c r="AA124" s="43"/>
      <c r="AB124" s="43"/>
      <c r="AC124" s="43"/>
      <c r="AD124" s="43"/>
    </row>
    <row r="125" spans="1:30" ht="16.5" thickBot="1">
      <c r="A125" s="179"/>
      <c r="B125" s="307"/>
      <c r="C125" s="333"/>
      <c r="D125" s="233"/>
      <c r="E125" s="371"/>
      <c r="F125" s="218"/>
      <c r="G125" s="218"/>
      <c r="H125" s="262"/>
      <c r="I125" s="284"/>
      <c r="J125" s="73"/>
      <c r="K125" s="76"/>
      <c r="L125" s="76"/>
      <c r="M125" s="76"/>
      <c r="N125" s="183"/>
      <c r="O125" s="70"/>
      <c r="P125" s="70"/>
      <c r="Q125" s="70"/>
      <c r="R125" s="70"/>
      <c r="S125" s="70"/>
      <c r="T125" s="70"/>
      <c r="U125" s="70"/>
      <c r="V125" s="43"/>
      <c r="W125" s="43"/>
      <c r="X125" s="43"/>
      <c r="Y125" s="43"/>
      <c r="Z125" s="43"/>
      <c r="AA125" s="43"/>
      <c r="AB125" s="43"/>
      <c r="AC125" s="43"/>
      <c r="AD125" s="43"/>
    </row>
    <row r="126" spans="1:30" ht="16.5" thickBot="1">
      <c r="A126" s="179"/>
      <c r="B126" s="307"/>
      <c r="C126" s="333"/>
      <c r="D126" s="233"/>
      <c r="E126" s="371"/>
      <c r="F126" s="218"/>
      <c r="G126" s="218"/>
      <c r="H126" s="262"/>
      <c r="I126" s="284"/>
      <c r="J126" s="73"/>
      <c r="K126" s="76"/>
      <c r="L126" s="76"/>
      <c r="M126" s="76"/>
      <c r="N126" s="76"/>
      <c r="O126" s="70"/>
      <c r="P126" s="70"/>
      <c r="Q126" s="70"/>
      <c r="R126" s="70"/>
      <c r="S126" s="70"/>
      <c r="T126" s="70"/>
      <c r="U126" s="70"/>
      <c r="V126" s="43"/>
      <c r="W126" s="43"/>
      <c r="X126" s="43"/>
      <c r="Y126" s="43"/>
      <c r="Z126" s="43"/>
      <c r="AA126" s="43"/>
      <c r="AB126" s="43"/>
      <c r="AC126" s="43"/>
      <c r="AD126" s="43"/>
    </row>
    <row r="127" spans="1:30" ht="16.5" thickBot="1">
      <c r="A127" s="179"/>
      <c r="B127" s="307"/>
      <c r="C127" s="333"/>
      <c r="D127" s="233"/>
      <c r="E127" s="371"/>
      <c r="F127" s="218"/>
      <c r="G127" s="218"/>
      <c r="H127" s="262"/>
      <c r="I127" s="284"/>
      <c r="J127" s="80"/>
      <c r="K127" s="76"/>
      <c r="L127" s="76"/>
      <c r="M127" s="76"/>
      <c r="N127" s="76"/>
      <c r="O127" s="70"/>
      <c r="P127" s="70"/>
      <c r="Q127" s="70"/>
      <c r="R127" s="70"/>
      <c r="S127" s="70"/>
      <c r="T127" s="70"/>
      <c r="U127" s="70"/>
      <c r="V127" s="43"/>
      <c r="W127" s="43"/>
      <c r="X127" s="43"/>
      <c r="Y127" s="43"/>
      <c r="Z127" s="43"/>
      <c r="AA127" s="43"/>
      <c r="AB127" s="43"/>
      <c r="AC127" s="43"/>
      <c r="AD127" s="43"/>
    </row>
    <row r="128" spans="1:30" ht="16.5" thickBot="1">
      <c r="A128" s="179"/>
      <c r="B128" s="307"/>
      <c r="C128" s="333"/>
      <c r="D128" s="233"/>
      <c r="E128" s="371"/>
      <c r="F128" s="218"/>
      <c r="G128" s="218"/>
      <c r="H128" s="264"/>
      <c r="I128" s="286"/>
      <c r="J128" s="80"/>
      <c r="K128" s="79"/>
      <c r="L128" s="76"/>
      <c r="M128" s="76"/>
      <c r="N128" s="76"/>
      <c r="O128" s="70"/>
      <c r="P128" s="70"/>
      <c r="Q128" s="70"/>
      <c r="R128" s="70"/>
      <c r="S128" s="70"/>
      <c r="T128" s="70"/>
      <c r="U128" s="70"/>
      <c r="V128" s="43"/>
      <c r="W128" s="43"/>
      <c r="X128" s="43"/>
      <c r="Y128" s="43"/>
      <c r="Z128" s="43"/>
      <c r="AA128" s="43"/>
      <c r="AB128" s="43"/>
      <c r="AC128" s="43"/>
      <c r="AD128" s="43"/>
    </row>
    <row r="129" spans="1:30" ht="16.5" thickBot="1">
      <c r="A129" s="179"/>
      <c r="B129" s="307"/>
      <c r="C129" s="333"/>
      <c r="D129" s="233"/>
      <c r="E129" s="371"/>
      <c r="F129" s="218"/>
      <c r="G129" s="218"/>
      <c r="H129" s="264"/>
      <c r="I129" s="286"/>
      <c r="J129" s="80"/>
      <c r="K129" s="79"/>
      <c r="L129" s="76"/>
      <c r="M129" s="76"/>
      <c r="N129" s="76"/>
      <c r="O129" s="70"/>
      <c r="P129" s="70"/>
      <c r="Q129" s="70"/>
      <c r="R129" s="70"/>
      <c r="S129" s="70"/>
      <c r="T129" s="70"/>
      <c r="U129" s="70"/>
      <c r="V129" s="43"/>
      <c r="W129" s="43"/>
      <c r="X129" s="43"/>
      <c r="Y129" s="43"/>
      <c r="Z129" s="43"/>
      <c r="AA129" s="43"/>
      <c r="AB129" s="43"/>
      <c r="AC129" s="43"/>
      <c r="AD129" s="43"/>
    </row>
    <row r="130" spans="1:30" ht="16.5" thickBot="1">
      <c r="A130" s="179"/>
      <c r="B130" s="307"/>
      <c r="C130" s="333"/>
      <c r="D130" s="233"/>
      <c r="E130" s="371"/>
      <c r="F130" s="218"/>
      <c r="G130" s="218"/>
      <c r="H130" s="264"/>
      <c r="I130" s="286"/>
      <c r="J130" s="73"/>
      <c r="K130" s="79"/>
      <c r="L130" s="76"/>
      <c r="M130" s="76"/>
      <c r="N130" s="184"/>
      <c r="O130" s="70"/>
      <c r="P130" s="70"/>
      <c r="Q130" s="70"/>
      <c r="R130" s="70"/>
      <c r="S130" s="70"/>
      <c r="T130" s="70"/>
      <c r="U130" s="70"/>
      <c r="V130" s="43"/>
      <c r="W130" s="43"/>
      <c r="X130" s="43"/>
      <c r="Y130" s="43"/>
      <c r="Z130" s="43"/>
      <c r="AA130" s="43"/>
      <c r="AB130" s="43"/>
      <c r="AC130" s="43"/>
      <c r="AD130" s="43"/>
    </row>
    <row r="131" spans="1:30" ht="16.5" thickBot="1">
      <c r="A131" s="179"/>
      <c r="B131" s="307"/>
      <c r="C131" s="333"/>
      <c r="D131" s="323"/>
      <c r="E131" s="376"/>
      <c r="F131" s="220"/>
      <c r="G131" s="218"/>
      <c r="H131" s="262"/>
      <c r="I131" s="284"/>
      <c r="J131" s="73"/>
      <c r="K131" s="76"/>
      <c r="L131" s="76"/>
      <c r="M131" s="76"/>
      <c r="N131" s="76"/>
      <c r="O131" s="70"/>
      <c r="P131" s="70"/>
      <c r="Q131" s="70"/>
      <c r="R131" s="70"/>
      <c r="S131" s="70"/>
      <c r="T131" s="70"/>
      <c r="U131" s="70"/>
      <c r="V131" s="43"/>
      <c r="W131" s="43"/>
      <c r="X131" s="43"/>
      <c r="Y131" s="43"/>
      <c r="Z131" s="43"/>
      <c r="AA131" s="43"/>
      <c r="AB131" s="43"/>
      <c r="AC131" s="43"/>
      <c r="AD131" s="43"/>
    </row>
    <row r="132" spans="1:30" ht="16.5" thickBot="1">
      <c r="A132" s="179"/>
      <c r="B132" s="307"/>
      <c r="C132" s="333"/>
      <c r="D132" s="233"/>
      <c r="E132" s="377"/>
      <c r="F132" s="218"/>
      <c r="G132" s="218"/>
      <c r="H132" s="262"/>
      <c r="I132" s="284"/>
      <c r="J132" s="73"/>
      <c r="K132" s="76"/>
      <c r="L132" s="76"/>
      <c r="M132" s="76"/>
      <c r="N132" s="76"/>
      <c r="O132" s="70"/>
      <c r="P132" s="70"/>
      <c r="Q132" s="70"/>
      <c r="R132" s="70"/>
      <c r="S132" s="70"/>
      <c r="T132" s="70"/>
      <c r="U132" s="70"/>
      <c r="V132" s="43"/>
      <c r="W132" s="43"/>
      <c r="X132" s="43"/>
      <c r="Y132" s="43"/>
      <c r="Z132" s="43"/>
      <c r="AA132" s="43"/>
      <c r="AB132" s="43"/>
      <c r="AC132" s="43"/>
      <c r="AD132" s="43"/>
    </row>
    <row r="133" spans="1:30" ht="16.5" thickBot="1">
      <c r="A133" s="179"/>
      <c r="B133" s="307"/>
      <c r="C133" s="333"/>
      <c r="D133" s="233"/>
      <c r="E133" s="377"/>
      <c r="F133" s="218"/>
      <c r="G133" s="218"/>
      <c r="H133" s="262"/>
      <c r="I133" s="284"/>
      <c r="J133" s="73"/>
      <c r="K133" s="76"/>
      <c r="L133" s="76"/>
      <c r="M133" s="76"/>
      <c r="N133" s="76"/>
      <c r="O133" s="70"/>
      <c r="P133" s="70"/>
      <c r="Q133" s="70"/>
      <c r="R133" s="70"/>
      <c r="S133" s="70"/>
      <c r="T133" s="70"/>
      <c r="U133" s="70"/>
      <c r="V133" s="43"/>
      <c r="W133" s="43"/>
      <c r="X133" s="43"/>
      <c r="Y133" s="43"/>
      <c r="Z133" s="43"/>
      <c r="AA133" s="43"/>
      <c r="AB133" s="43"/>
      <c r="AC133" s="43"/>
      <c r="AD133" s="43"/>
    </row>
    <row r="134" spans="1:30" ht="16.5" thickBot="1">
      <c r="A134" s="179"/>
      <c r="B134" s="307"/>
      <c r="C134" s="333"/>
      <c r="D134" s="233"/>
      <c r="E134" s="377"/>
      <c r="F134" s="218"/>
      <c r="G134" s="218"/>
      <c r="H134" s="262"/>
      <c r="I134" s="284"/>
      <c r="J134" s="73"/>
      <c r="K134" s="76"/>
      <c r="L134" s="76"/>
      <c r="M134" s="76"/>
      <c r="N134" s="76"/>
      <c r="O134" s="70"/>
      <c r="P134" s="70"/>
      <c r="Q134" s="70"/>
      <c r="R134" s="70"/>
      <c r="S134" s="70"/>
      <c r="T134" s="70"/>
      <c r="U134" s="70"/>
      <c r="V134" s="43"/>
      <c r="W134" s="43"/>
      <c r="X134" s="43"/>
      <c r="Y134" s="43"/>
      <c r="Z134" s="43"/>
      <c r="AA134" s="43"/>
      <c r="AB134" s="43"/>
      <c r="AC134" s="43"/>
      <c r="AD134" s="43"/>
    </row>
    <row r="135" spans="1:30" ht="16.5" thickBot="1">
      <c r="A135" s="179"/>
      <c r="B135" s="307"/>
      <c r="C135" s="333"/>
      <c r="D135" s="233"/>
      <c r="E135" s="378"/>
      <c r="F135" s="221"/>
      <c r="G135" s="218"/>
      <c r="H135" s="262"/>
      <c r="I135" s="284"/>
      <c r="J135" s="73"/>
      <c r="K135" s="76"/>
      <c r="L135" s="76"/>
      <c r="M135" s="76"/>
      <c r="N135" s="76"/>
      <c r="O135" s="70"/>
      <c r="P135" s="70"/>
      <c r="Q135" s="70"/>
      <c r="R135" s="70"/>
      <c r="S135" s="70"/>
      <c r="T135" s="70"/>
      <c r="U135" s="70"/>
      <c r="V135" s="43"/>
      <c r="W135" s="43"/>
      <c r="X135" s="43"/>
      <c r="Y135" s="43"/>
      <c r="Z135" s="43"/>
      <c r="AA135" s="43"/>
      <c r="AB135" s="43"/>
      <c r="AC135" s="43"/>
      <c r="AD135" s="43"/>
    </row>
    <row r="136" spans="1:30" ht="16.5" thickBot="1">
      <c r="A136" s="179"/>
      <c r="B136" s="307"/>
      <c r="C136" s="333"/>
      <c r="D136" s="233"/>
      <c r="E136" s="378"/>
      <c r="F136" s="221"/>
      <c r="G136" s="218"/>
      <c r="H136" s="262"/>
      <c r="I136" s="284"/>
      <c r="J136" s="73"/>
      <c r="K136" s="76"/>
      <c r="L136" s="76"/>
      <c r="M136" s="76"/>
      <c r="N136" s="76"/>
      <c r="O136" s="70"/>
      <c r="P136" s="70"/>
      <c r="Q136" s="70"/>
      <c r="R136" s="70"/>
      <c r="S136" s="70"/>
      <c r="T136" s="70"/>
      <c r="U136" s="70"/>
      <c r="V136" s="43"/>
      <c r="W136" s="43"/>
      <c r="X136" s="43"/>
      <c r="Y136" s="43"/>
      <c r="Z136" s="43"/>
      <c r="AA136" s="43"/>
      <c r="AB136" s="43"/>
      <c r="AC136" s="43"/>
      <c r="AD136" s="43"/>
    </row>
    <row r="137" spans="1:30" ht="16.5" thickBot="1">
      <c r="A137" s="179"/>
      <c r="B137" s="307"/>
      <c r="C137" s="333"/>
      <c r="D137" s="233"/>
      <c r="E137" s="378"/>
      <c r="F137" s="221"/>
      <c r="G137" s="218"/>
      <c r="H137" s="262"/>
      <c r="I137" s="284"/>
      <c r="J137" s="73"/>
      <c r="K137" s="76"/>
      <c r="L137" s="76"/>
      <c r="M137" s="76"/>
      <c r="N137" s="76"/>
      <c r="O137" s="70"/>
      <c r="P137" s="70"/>
      <c r="Q137" s="70"/>
      <c r="R137" s="70"/>
      <c r="S137" s="70"/>
      <c r="T137" s="70"/>
      <c r="U137" s="70"/>
      <c r="V137" s="43"/>
      <c r="W137" s="43"/>
      <c r="X137" s="43"/>
      <c r="Y137" s="43"/>
      <c r="Z137" s="43"/>
      <c r="AA137" s="43"/>
      <c r="AB137" s="43"/>
      <c r="AC137" s="43"/>
      <c r="AD137" s="43"/>
    </row>
    <row r="138" spans="1:30" ht="16.5" thickBot="1">
      <c r="A138" s="179"/>
      <c r="B138" s="307"/>
      <c r="C138" s="333"/>
      <c r="D138" s="233"/>
      <c r="E138" s="378"/>
      <c r="F138" s="221"/>
      <c r="G138" s="218"/>
      <c r="H138" s="262"/>
      <c r="I138" s="284"/>
      <c r="J138" s="73"/>
      <c r="K138" s="76"/>
      <c r="L138" s="76"/>
      <c r="M138" s="76"/>
      <c r="N138" s="76"/>
      <c r="O138" s="70"/>
      <c r="P138" s="70"/>
      <c r="Q138" s="70"/>
      <c r="R138" s="70"/>
      <c r="S138" s="70"/>
      <c r="T138" s="70"/>
      <c r="U138" s="70"/>
      <c r="V138" s="43"/>
      <c r="W138" s="43"/>
      <c r="X138" s="43"/>
      <c r="Y138" s="43"/>
      <c r="Z138" s="43"/>
      <c r="AA138" s="43"/>
      <c r="AB138" s="43"/>
      <c r="AC138" s="43"/>
      <c r="AD138" s="43"/>
    </row>
    <row r="139" spans="1:30" ht="16.5" thickBot="1">
      <c r="A139" s="179"/>
      <c r="B139" s="307"/>
      <c r="C139" s="333"/>
      <c r="D139" s="233"/>
      <c r="E139" s="377"/>
      <c r="F139" s="218"/>
      <c r="G139" s="218"/>
      <c r="H139" s="262"/>
      <c r="I139" s="284"/>
      <c r="J139" s="73"/>
      <c r="K139" s="76"/>
      <c r="L139" s="76"/>
      <c r="M139" s="76"/>
      <c r="N139" s="76"/>
      <c r="O139" s="70"/>
      <c r="P139" s="70"/>
      <c r="Q139" s="70"/>
      <c r="R139" s="70"/>
      <c r="S139" s="70"/>
      <c r="T139" s="70"/>
      <c r="U139" s="70"/>
      <c r="V139" s="43"/>
      <c r="W139" s="43"/>
      <c r="X139" s="43"/>
      <c r="Y139" s="43"/>
      <c r="Z139" s="43"/>
      <c r="AA139" s="43"/>
      <c r="AB139" s="43"/>
      <c r="AC139" s="43"/>
      <c r="AD139" s="43"/>
    </row>
    <row r="140" spans="1:30" ht="16.5" thickBot="1">
      <c r="A140" s="179"/>
      <c r="B140" s="307"/>
      <c r="C140" s="333"/>
      <c r="D140" s="233"/>
      <c r="E140" s="377"/>
      <c r="F140" s="218"/>
      <c r="G140" s="218"/>
      <c r="H140" s="262"/>
      <c r="I140" s="284"/>
      <c r="J140" s="73"/>
      <c r="K140" s="76"/>
      <c r="L140" s="76"/>
      <c r="M140" s="76"/>
      <c r="N140" s="76"/>
      <c r="O140" s="70"/>
      <c r="P140" s="70"/>
      <c r="Q140" s="70"/>
      <c r="R140" s="70"/>
      <c r="S140" s="70"/>
      <c r="T140" s="70"/>
      <c r="U140" s="70"/>
      <c r="V140" s="43"/>
      <c r="W140" s="43"/>
      <c r="X140" s="43"/>
      <c r="Y140" s="43"/>
      <c r="Z140" s="43"/>
      <c r="AA140" s="43"/>
      <c r="AB140" s="43"/>
      <c r="AC140" s="43"/>
      <c r="AD140" s="43"/>
    </row>
    <row r="141" spans="1:30" ht="16.5" thickBot="1">
      <c r="A141" s="179"/>
      <c r="B141" s="307"/>
      <c r="C141" s="333"/>
      <c r="D141" s="233"/>
      <c r="E141" s="377"/>
      <c r="F141" s="218"/>
      <c r="G141" s="218"/>
      <c r="H141" s="262"/>
      <c r="I141" s="284"/>
      <c r="J141" s="73"/>
      <c r="K141" s="76"/>
      <c r="L141" s="76"/>
      <c r="M141" s="76"/>
      <c r="N141" s="76"/>
      <c r="O141" s="70"/>
      <c r="P141" s="70"/>
      <c r="Q141" s="70"/>
      <c r="R141" s="70"/>
      <c r="S141" s="70"/>
      <c r="T141" s="70"/>
      <c r="U141" s="70"/>
      <c r="V141" s="43"/>
      <c r="W141" s="43"/>
      <c r="X141" s="43"/>
      <c r="Y141" s="43"/>
      <c r="Z141" s="43"/>
      <c r="AA141" s="43"/>
      <c r="AB141" s="43"/>
      <c r="AC141" s="43"/>
      <c r="AD141" s="43"/>
    </row>
    <row r="142" spans="1:30" ht="16.5" thickBot="1">
      <c r="A142" s="179"/>
      <c r="B142" s="307"/>
      <c r="C142" s="333"/>
      <c r="D142" s="233"/>
      <c r="E142" s="377"/>
      <c r="F142" s="218"/>
      <c r="G142" s="218"/>
      <c r="H142" s="262"/>
      <c r="I142" s="284"/>
      <c r="J142" s="73"/>
      <c r="K142" s="76"/>
      <c r="L142" s="76"/>
      <c r="M142" s="76"/>
      <c r="N142" s="76"/>
      <c r="O142" s="70"/>
      <c r="P142" s="70"/>
      <c r="Q142" s="70"/>
      <c r="R142" s="70"/>
      <c r="S142" s="70"/>
      <c r="T142" s="70"/>
      <c r="U142" s="70"/>
      <c r="V142" s="43"/>
      <c r="W142" s="43"/>
      <c r="X142" s="43"/>
      <c r="Y142" s="43"/>
      <c r="Z142" s="43"/>
      <c r="AA142" s="43"/>
      <c r="AB142" s="43"/>
      <c r="AC142" s="43"/>
      <c r="AD142" s="43"/>
    </row>
    <row r="143" spans="1:30" ht="16.5" thickBot="1">
      <c r="A143" s="179"/>
      <c r="B143" s="307"/>
      <c r="C143" s="333"/>
      <c r="D143" s="233"/>
      <c r="E143" s="379"/>
      <c r="F143" s="220"/>
      <c r="G143" s="218"/>
      <c r="H143" s="262"/>
      <c r="I143" s="284"/>
      <c r="J143" s="73"/>
      <c r="K143" s="76"/>
      <c r="L143" s="76"/>
      <c r="M143" s="76"/>
      <c r="N143" s="76"/>
      <c r="O143" s="70"/>
      <c r="P143" s="70"/>
      <c r="Q143" s="70"/>
      <c r="R143" s="70"/>
      <c r="S143" s="70"/>
      <c r="T143" s="70"/>
      <c r="U143" s="70"/>
      <c r="V143" s="43"/>
      <c r="W143" s="43"/>
      <c r="X143" s="43"/>
      <c r="Y143" s="43"/>
      <c r="Z143" s="43"/>
      <c r="AA143" s="43"/>
      <c r="AB143" s="43"/>
      <c r="AC143" s="43"/>
      <c r="AD143" s="43"/>
    </row>
    <row r="144" spans="1:30" ht="16.5" thickBot="1">
      <c r="A144" s="179"/>
      <c r="B144" s="307"/>
      <c r="C144" s="333"/>
      <c r="D144" s="233"/>
      <c r="E144" s="380"/>
      <c r="F144" s="218"/>
      <c r="G144" s="218"/>
      <c r="H144" s="262"/>
      <c r="I144" s="284"/>
      <c r="J144" s="73"/>
      <c r="K144" s="76"/>
      <c r="L144" s="76"/>
      <c r="M144" s="76"/>
      <c r="N144" s="76"/>
      <c r="O144" s="70"/>
      <c r="P144" s="70"/>
      <c r="Q144" s="70"/>
      <c r="R144" s="70"/>
      <c r="S144" s="70"/>
      <c r="T144" s="70"/>
      <c r="U144" s="70"/>
      <c r="V144" s="43"/>
      <c r="W144" s="43"/>
      <c r="X144" s="43"/>
      <c r="Y144" s="43"/>
      <c r="Z144" s="43"/>
      <c r="AA144" s="43"/>
      <c r="AB144" s="43"/>
      <c r="AC144" s="43"/>
      <c r="AD144" s="43"/>
    </row>
    <row r="145" spans="1:30" ht="16.5" thickBot="1">
      <c r="A145" s="179"/>
      <c r="B145" s="307"/>
      <c r="C145" s="333"/>
      <c r="D145" s="324"/>
      <c r="E145" s="373"/>
      <c r="F145" s="220"/>
      <c r="G145" s="218"/>
      <c r="H145" s="262"/>
      <c r="I145" s="284"/>
      <c r="J145" s="73"/>
      <c r="K145" s="76"/>
      <c r="L145" s="76"/>
      <c r="M145" s="76"/>
      <c r="N145" s="76"/>
      <c r="O145" s="70"/>
      <c r="P145" s="70"/>
      <c r="Q145" s="70"/>
      <c r="R145" s="70"/>
      <c r="S145" s="70"/>
      <c r="T145" s="70"/>
      <c r="U145" s="70"/>
      <c r="V145" s="43"/>
      <c r="W145" s="43"/>
      <c r="X145" s="43"/>
      <c r="Y145" s="43"/>
      <c r="Z145" s="43"/>
      <c r="AA145" s="43"/>
      <c r="AB145" s="43"/>
      <c r="AC145" s="43"/>
      <c r="AD145" s="43"/>
    </row>
    <row r="146" spans="1:30" ht="16.5" thickBot="1">
      <c r="A146" s="179"/>
      <c r="B146" s="307"/>
      <c r="C146" s="333"/>
      <c r="D146" s="428"/>
      <c r="E146" s="379"/>
      <c r="F146" s="218"/>
      <c r="G146" s="218"/>
      <c r="H146" s="262"/>
      <c r="I146" s="284"/>
      <c r="J146" s="73"/>
      <c r="K146" s="76"/>
      <c r="L146" s="76"/>
      <c r="M146" s="76"/>
      <c r="N146" s="419"/>
      <c r="O146" s="70"/>
      <c r="P146" s="70"/>
      <c r="Q146" s="70"/>
      <c r="R146" s="70"/>
      <c r="S146" s="70"/>
      <c r="T146" s="70"/>
      <c r="U146" s="70"/>
      <c r="V146" s="43"/>
      <c r="W146" s="43"/>
      <c r="X146" s="43"/>
      <c r="Y146" s="43"/>
      <c r="Z146" s="43"/>
      <c r="AA146" s="43"/>
      <c r="AB146" s="43"/>
      <c r="AC146" s="43"/>
      <c r="AD146" s="43"/>
    </row>
    <row r="147" spans="1:30" ht="16.5" thickBot="1">
      <c r="A147" s="179"/>
      <c r="B147" s="307"/>
      <c r="C147" s="333"/>
      <c r="D147" s="429"/>
      <c r="E147" s="381"/>
      <c r="F147" s="218"/>
      <c r="G147" s="218"/>
      <c r="H147" s="262"/>
      <c r="I147" s="284"/>
      <c r="J147" s="73"/>
      <c r="K147" s="76"/>
      <c r="L147" s="76"/>
      <c r="M147" s="76"/>
      <c r="N147" s="421"/>
      <c r="O147" s="70"/>
      <c r="P147" s="70"/>
      <c r="Q147" s="70"/>
      <c r="R147" s="70"/>
      <c r="S147" s="70"/>
      <c r="T147" s="70"/>
      <c r="U147" s="70"/>
      <c r="V147" s="43"/>
      <c r="W147" s="43"/>
      <c r="X147" s="43"/>
      <c r="Y147" s="43"/>
      <c r="Z147" s="43"/>
      <c r="AA147" s="43"/>
      <c r="AB147" s="43"/>
      <c r="AC147" s="43"/>
      <c r="AD147" s="43"/>
    </row>
    <row r="148" spans="1:30" ht="16.5" thickBot="1">
      <c r="A148" s="179"/>
      <c r="B148" s="307"/>
      <c r="C148" s="333"/>
      <c r="D148" s="429"/>
      <c r="E148" s="381"/>
      <c r="F148" s="218"/>
      <c r="G148" s="218"/>
      <c r="H148" s="262"/>
      <c r="I148" s="284"/>
      <c r="J148" s="73"/>
      <c r="K148" s="76"/>
      <c r="L148" s="76"/>
      <c r="M148" s="76"/>
      <c r="N148" s="421"/>
      <c r="O148" s="70"/>
      <c r="P148" s="70"/>
      <c r="Q148" s="70"/>
      <c r="R148" s="70"/>
      <c r="S148" s="70"/>
      <c r="T148" s="70"/>
      <c r="U148" s="70"/>
      <c r="V148" s="43"/>
      <c r="W148" s="43"/>
      <c r="X148" s="43"/>
      <c r="Y148" s="43"/>
      <c r="Z148" s="43"/>
      <c r="AA148" s="43"/>
      <c r="AB148" s="43"/>
      <c r="AC148" s="43"/>
      <c r="AD148" s="43"/>
    </row>
    <row r="149" spans="1:30" ht="16.5" thickBot="1">
      <c r="A149" s="179"/>
      <c r="B149" s="307"/>
      <c r="C149" s="333"/>
      <c r="D149" s="429"/>
      <c r="E149" s="381"/>
      <c r="F149" s="221"/>
      <c r="G149" s="218"/>
      <c r="H149" s="262"/>
      <c r="I149" s="284"/>
      <c r="J149" s="73"/>
      <c r="K149" s="76"/>
      <c r="L149" s="76"/>
      <c r="M149" s="76"/>
      <c r="N149" s="421"/>
      <c r="O149" s="70"/>
      <c r="P149" s="70"/>
      <c r="Q149" s="70"/>
      <c r="R149" s="70"/>
      <c r="S149" s="70"/>
      <c r="T149" s="70"/>
      <c r="U149" s="70"/>
      <c r="V149" s="43"/>
      <c r="W149" s="43"/>
      <c r="X149" s="43"/>
      <c r="Y149" s="43"/>
      <c r="Z149" s="43"/>
      <c r="AA149" s="43"/>
      <c r="AB149" s="43"/>
      <c r="AC149" s="43"/>
      <c r="AD149" s="43"/>
    </row>
    <row r="150" spans="1:30" ht="16.5" thickBot="1">
      <c r="A150" s="179"/>
      <c r="B150" s="307"/>
      <c r="C150" s="333"/>
      <c r="D150" s="429"/>
      <c r="E150" s="381"/>
      <c r="F150" s="221"/>
      <c r="G150" s="218"/>
      <c r="H150" s="262"/>
      <c r="I150" s="284"/>
      <c r="J150" s="73"/>
      <c r="K150" s="76"/>
      <c r="L150" s="76"/>
      <c r="M150" s="76"/>
      <c r="N150" s="421"/>
      <c r="O150" s="70"/>
      <c r="P150" s="70"/>
      <c r="Q150" s="70"/>
      <c r="R150" s="70"/>
      <c r="S150" s="70"/>
      <c r="T150" s="70"/>
      <c r="U150" s="70"/>
      <c r="V150" s="43"/>
      <c r="W150" s="43"/>
      <c r="X150" s="43"/>
      <c r="Y150" s="43"/>
      <c r="Z150" s="43"/>
      <c r="AA150" s="43"/>
      <c r="AB150" s="43"/>
      <c r="AC150" s="43"/>
      <c r="AD150" s="43"/>
    </row>
    <row r="151" spans="1:30" ht="16.5" thickBot="1">
      <c r="A151" s="179"/>
      <c r="B151" s="307"/>
      <c r="C151" s="333"/>
      <c r="D151" s="429"/>
      <c r="E151" s="381"/>
      <c r="F151" s="221"/>
      <c r="G151" s="218"/>
      <c r="H151" s="262"/>
      <c r="I151" s="284"/>
      <c r="J151" s="73"/>
      <c r="K151" s="76"/>
      <c r="L151" s="76"/>
      <c r="M151" s="76"/>
      <c r="N151" s="421"/>
      <c r="O151" s="70"/>
      <c r="P151" s="70"/>
      <c r="Q151" s="70"/>
      <c r="R151" s="70"/>
      <c r="S151" s="70"/>
      <c r="T151" s="70"/>
      <c r="U151" s="70"/>
      <c r="V151" s="43"/>
      <c r="W151" s="43"/>
      <c r="X151" s="43"/>
      <c r="Y151" s="43"/>
      <c r="Z151" s="43"/>
      <c r="AA151" s="43"/>
      <c r="AB151" s="43"/>
      <c r="AC151" s="43"/>
      <c r="AD151" s="43"/>
    </row>
    <row r="152" spans="1:30" ht="16.5" thickBot="1">
      <c r="A152" s="179"/>
      <c r="B152" s="307"/>
      <c r="C152" s="333"/>
      <c r="D152" s="429"/>
      <c r="E152" s="381"/>
      <c r="F152" s="221"/>
      <c r="G152" s="218"/>
      <c r="H152" s="262"/>
      <c r="I152" s="284"/>
      <c r="J152" s="73"/>
      <c r="K152" s="76"/>
      <c r="L152" s="76"/>
      <c r="M152" s="76"/>
      <c r="N152" s="421"/>
      <c r="O152" s="70"/>
      <c r="P152" s="70"/>
      <c r="Q152" s="70"/>
      <c r="R152" s="70"/>
      <c r="S152" s="70"/>
      <c r="T152" s="70"/>
      <c r="U152" s="70"/>
      <c r="V152" s="43"/>
      <c r="W152" s="43"/>
      <c r="X152" s="43"/>
      <c r="Y152" s="43"/>
      <c r="Z152" s="43"/>
      <c r="AA152" s="43"/>
      <c r="AB152" s="43"/>
      <c r="AC152" s="43"/>
      <c r="AD152" s="43"/>
    </row>
    <row r="153" spans="1:30" ht="16.5" thickBot="1">
      <c r="A153" s="179"/>
      <c r="B153" s="307"/>
      <c r="C153" s="333"/>
      <c r="D153" s="429"/>
      <c r="E153" s="381"/>
      <c r="F153" s="218"/>
      <c r="G153" s="218"/>
      <c r="H153" s="262"/>
      <c r="I153" s="284"/>
      <c r="J153" s="73"/>
      <c r="K153" s="76"/>
      <c r="L153" s="76"/>
      <c r="M153" s="76"/>
      <c r="N153" s="416"/>
      <c r="O153" s="70"/>
      <c r="P153" s="70"/>
      <c r="Q153" s="70"/>
      <c r="R153" s="70"/>
      <c r="S153" s="70"/>
      <c r="T153" s="70"/>
      <c r="U153" s="70"/>
      <c r="V153" s="43"/>
      <c r="W153" s="43"/>
      <c r="X153" s="43"/>
      <c r="Y153" s="43"/>
      <c r="Z153" s="43"/>
      <c r="AA153" s="43"/>
      <c r="AB153" s="43"/>
      <c r="AC153" s="43"/>
      <c r="AD153" s="43"/>
    </row>
    <row r="154" spans="1:30" ht="16.5" thickBot="1">
      <c r="A154" s="179"/>
      <c r="B154" s="307"/>
      <c r="C154" s="333"/>
      <c r="D154" s="429"/>
      <c r="E154" s="381"/>
      <c r="F154" s="218"/>
      <c r="G154" s="218"/>
      <c r="H154" s="262"/>
      <c r="I154" s="284"/>
      <c r="J154" s="73"/>
      <c r="K154" s="76"/>
      <c r="L154" s="76"/>
      <c r="M154" s="76"/>
      <c r="N154" s="76"/>
      <c r="O154" s="70"/>
      <c r="P154" s="70"/>
      <c r="Q154" s="70"/>
      <c r="R154" s="70"/>
      <c r="S154" s="70"/>
      <c r="T154" s="70"/>
      <c r="U154" s="70"/>
      <c r="V154" s="43"/>
      <c r="W154" s="43"/>
      <c r="X154" s="43"/>
      <c r="Y154" s="43"/>
      <c r="Z154" s="43"/>
      <c r="AA154" s="43"/>
      <c r="AB154" s="43"/>
      <c r="AC154" s="43"/>
      <c r="AD154" s="43"/>
    </row>
    <row r="155" spans="1:30" ht="16.5" thickBot="1">
      <c r="A155" s="179"/>
      <c r="B155" s="307"/>
      <c r="C155" s="335"/>
      <c r="D155" s="429"/>
      <c r="E155" s="381"/>
      <c r="F155" s="218"/>
      <c r="G155" s="218"/>
      <c r="H155" s="262"/>
      <c r="I155" s="284"/>
      <c r="J155" s="73"/>
      <c r="K155" s="76"/>
      <c r="L155" s="76"/>
      <c r="M155" s="76"/>
      <c r="N155" s="76"/>
      <c r="O155" s="70"/>
      <c r="P155" s="70"/>
      <c r="Q155" s="70"/>
      <c r="R155" s="70"/>
      <c r="S155" s="70"/>
      <c r="T155" s="70"/>
      <c r="U155" s="70"/>
      <c r="V155" s="43"/>
      <c r="W155" s="43"/>
      <c r="X155" s="43"/>
      <c r="Y155" s="43"/>
      <c r="Z155" s="43"/>
      <c r="AA155" s="43"/>
      <c r="AB155" s="43"/>
      <c r="AC155" s="43"/>
      <c r="AD155" s="43"/>
    </row>
    <row r="156" spans="1:30" ht="29.25" thickBot="1">
      <c r="A156" s="179"/>
      <c r="B156" s="307"/>
      <c r="C156" s="336" t="s">
        <v>51</v>
      </c>
      <c r="D156" s="429"/>
      <c r="E156" s="381"/>
      <c r="F156" s="218"/>
      <c r="G156" s="218"/>
      <c r="H156" s="262"/>
      <c r="I156" s="284"/>
      <c r="J156" s="73"/>
      <c r="K156" s="76"/>
      <c r="L156" s="76"/>
      <c r="M156" s="76"/>
      <c r="N156" s="76"/>
      <c r="O156" s="70"/>
      <c r="P156" s="70"/>
      <c r="Q156" s="70"/>
      <c r="R156" s="70"/>
      <c r="S156" s="70"/>
      <c r="T156" s="70"/>
      <c r="U156" s="70"/>
      <c r="V156" s="43"/>
      <c r="W156" s="43"/>
      <c r="X156" s="43"/>
      <c r="Y156" s="43"/>
      <c r="Z156" s="43"/>
      <c r="AA156" s="43"/>
      <c r="AB156" s="43"/>
      <c r="AC156" s="43"/>
      <c r="AD156" s="43"/>
    </row>
    <row r="157" spans="1:30">
      <c r="A157" s="185"/>
      <c r="B157" s="308"/>
      <c r="C157" s="337"/>
      <c r="D157" s="325"/>
      <c r="E157" s="382"/>
      <c r="F157" s="220"/>
      <c r="G157" s="218"/>
      <c r="H157" s="262"/>
      <c r="I157" s="284"/>
      <c r="J157" s="80"/>
      <c r="K157" s="76"/>
      <c r="L157" s="76"/>
      <c r="M157" s="76"/>
      <c r="N157" s="76"/>
      <c r="O157" s="70"/>
      <c r="P157" s="70"/>
      <c r="Q157" s="70"/>
      <c r="R157" s="70"/>
      <c r="S157" s="70"/>
      <c r="T157" s="70"/>
      <c r="U157" s="70"/>
      <c r="V157" s="43"/>
      <c r="W157" s="43"/>
      <c r="X157" s="43"/>
      <c r="Y157" s="43"/>
      <c r="Z157" s="43"/>
      <c r="AA157" s="43"/>
      <c r="AB157" s="43"/>
      <c r="AC157" s="43"/>
      <c r="AD157" s="43"/>
    </row>
    <row r="158" spans="1:30">
      <c r="A158" s="186"/>
      <c r="B158" s="309"/>
      <c r="C158" s="337"/>
      <c r="D158" s="425"/>
      <c r="E158" s="223"/>
      <c r="F158" s="218"/>
      <c r="G158" s="218"/>
      <c r="H158" s="264"/>
      <c r="I158" s="286"/>
      <c r="J158" s="80"/>
      <c r="K158" s="79"/>
      <c r="L158" s="76"/>
      <c r="M158" s="76"/>
      <c r="N158" s="76"/>
      <c r="O158" s="70"/>
      <c r="P158" s="70"/>
      <c r="Q158" s="70"/>
      <c r="R158" s="70"/>
      <c r="S158" s="70"/>
      <c r="T158" s="70"/>
      <c r="U158" s="70"/>
      <c r="V158" s="43"/>
      <c r="W158" s="43"/>
      <c r="X158" s="43"/>
      <c r="Y158" s="43"/>
      <c r="Z158" s="43"/>
      <c r="AA158" s="43"/>
      <c r="AB158" s="43"/>
      <c r="AC158" s="43"/>
      <c r="AD158" s="43"/>
    </row>
    <row r="159" spans="1:30">
      <c r="A159" s="186"/>
      <c r="B159" s="310"/>
      <c r="C159" s="336"/>
      <c r="D159" s="426"/>
      <c r="E159" s="383"/>
      <c r="F159" s="218"/>
      <c r="G159" s="218"/>
      <c r="H159" s="264"/>
      <c r="I159" s="286"/>
      <c r="J159" s="80"/>
      <c r="K159" s="79"/>
      <c r="L159" s="76"/>
      <c r="M159" s="76"/>
      <c r="N159" s="76"/>
      <c r="O159" s="70"/>
      <c r="P159" s="70"/>
      <c r="Q159" s="70"/>
      <c r="R159" s="70"/>
      <c r="S159" s="70"/>
      <c r="T159" s="70"/>
      <c r="U159" s="70"/>
      <c r="V159" s="43"/>
      <c r="W159" s="43"/>
      <c r="X159" s="43"/>
      <c r="Y159" s="43"/>
      <c r="Z159" s="43"/>
      <c r="AA159" s="43"/>
      <c r="AB159" s="43"/>
      <c r="AC159" s="43"/>
      <c r="AD159" s="43"/>
    </row>
    <row r="160" spans="1:30">
      <c r="A160" s="186"/>
      <c r="B160" s="310"/>
      <c r="C160" s="336"/>
      <c r="D160" s="426"/>
      <c r="E160" s="383"/>
      <c r="F160" s="218"/>
      <c r="G160" s="218"/>
      <c r="H160" s="264"/>
      <c r="I160" s="286"/>
      <c r="J160" s="80"/>
      <c r="K160" s="79"/>
      <c r="L160" s="76"/>
      <c r="M160" s="76"/>
      <c r="N160" s="76"/>
      <c r="O160" s="70"/>
      <c r="P160" s="70"/>
      <c r="Q160" s="70"/>
      <c r="R160" s="70"/>
      <c r="S160" s="70"/>
      <c r="T160" s="70"/>
      <c r="U160" s="70"/>
      <c r="V160" s="43"/>
      <c r="W160" s="43"/>
      <c r="X160" s="43"/>
      <c r="Y160" s="43"/>
      <c r="Z160" s="43"/>
      <c r="AA160" s="43"/>
      <c r="AB160" s="43"/>
      <c r="AC160" s="43"/>
      <c r="AD160" s="43"/>
    </row>
    <row r="161" spans="1:30">
      <c r="A161" s="186"/>
      <c r="B161" s="310"/>
      <c r="C161" s="336"/>
      <c r="D161" s="426"/>
      <c r="E161" s="383"/>
      <c r="F161" s="218"/>
      <c r="G161" s="218"/>
      <c r="H161" s="264"/>
      <c r="I161" s="286"/>
      <c r="J161" s="80"/>
      <c r="K161" s="79"/>
      <c r="L161" s="76"/>
      <c r="M161" s="76"/>
      <c r="N161" s="76"/>
      <c r="O161" s="70"/>
      <c r="P161" s="70"/>
      <c r="Q161" s="70"/>
      <c r="R161" s="70"/>
      <c r="S161" s="70"/>
      <c r="T161" s="70"/>
      <c r="U161" s="70"/>
      <c r="V161" s="43"/>
      <c r="W161" s="43"/>
      <c r="X161" s="43"/>
      <c r="Y161" s="43"/>
      <c r="Z161" s="43"/>
      <c r="AA161" s="43"/>
      <c r="AB161" s="43"/>
      <c r="AC161" s="43"/>
      <c r="AD161" s="43"/>
    </row>
    <row r="162" spans="1:30">
      <c r="A162" s="186"/>
      <c r="B162" s="309"/>
      <c r="C162" s="336"/>
      <c r="D162" s="426"/>
      <c r="E162" s="383"/>
      <c r="F162" s="218"/>
      <c r="G162" s="218"/>
      <c r="H162" s="264"/>
      <c r="I162" s="286"/>
      <c r="J162" s="80"/>
      <c r="K162" s="79"/>
      <c r="L162" s="76"/>
      <c r="M162" s="76"/>
      <c r="N162" s="76"/>
      <c r="O162" s="70"/>
      <c r="P162" s="70"/>
      <c r="Q162" s="70"/>
      <c r="R162" s="70"/>
      <c r="S162" s="70"/>
      <c r="T162" s="70"/>
      <c r="U162" s="70"/>
      <c r="V162" s="43"/>
      <c r="W162" s="43"/>
      <c r="X162" s="43"/>
      <c r="Y162" s="43"/>
      <c r="Z162" s="43"/>
      <c r="AA162" s="43"/>
      <c r="AB162" s="43"/>
      <c r="AC162" s="43"/>
      <c r="AD162" s="43"/>
    </row>
    <row r="163" spans="1:30">
      <c r="A163" s="186"/>
      <c r="B163" s="309"/>
      <c r="C163" s="336"/>
      <c r="D163" s="426"/>
      <c r="E163" s="383"/>
      <c r="F163" s="218"/>
      <c r="G163" s="218"/>
      <c r="H163" s="264"/>
      <c r="I163" s="286"/>
      <c r="J163" s="80"/>
      <c r="K163" s="79"/>
      <c r="L163" s="76"/>
      <c r="M163" s="76"/>
      <c r="N163" s="76"/>
      <c r="O163" s="70"/>
      <c r="P163" s="70"/>
      <c r="Q163" s="70"/>
      <c r="R163" s="70"/>
      <c r="S163" s="70"/>
      <c r="T163" s="70"/>
      <c r="U163" s="70"/>
      <c r="V163" s="43"/>
      <c r="W163" s="43"/>
      <c r="X163" s="43"/>
      <c r="Y163" s="43"/>
      <c r="Z163" s="43"/>
      <c r="AA163" s="43"/>
      <c r="AB163" s="43"/>
      <c r="AC163" s="43"/>
      <c r="AD163" s="43"/>
    </row>
    <row r="164" spans="1:30">
      <c r="A164" s="186"/>
      <c r="B164" s="309"/>
      <c r="C164" s="336"/>
      <c r="D164" s="426"/>
      <c r="E164" s="383"/>
      <c r="F164" s="218"/>
      <c r="G164" s="218"/>
      <c r="H164" s="264"/>
      <c r="I164" s="286"/>
      <c r="J164" s="80"/>
      <c r="K164" s="79"/>
      <c r="L164" s="76"/>
      <c r="M164" s="76"/>
      <c r="N164" s="76"/>
      <c r="O164" s="70"/>
      <c r="P164" s="70"/>
      <c r="Q164" s="70"/>
      <c r="R164" s="70"/>
      <c r="S164" s="70"/>
      <c r="T164" s="70"/>
      <c r="U164" s="70"/>
      <c r="V164" s="43"/>
      <c r="W164" s="43"/>
      <c r="X164" s="43"/>
      <c r="Y164" s="43"/>
      <c r="Z164" s="43"/>
      <c r="AA164" s="43"/>
      <c r="AB164" s="43"/>
      <c r="AC164" s="43"/>
      <c r="AD164" s="43"/>
    </row>
    <row r="165" spans="1:30">
      <c r="A165" s="186"/>
      <c r="B165" s="309"/>
      <c r="C165" s="336"/>
      <c r="D165" s="426"/>
      <c r="E165" s="383"/>
      <c r="F165" s="218"/>
      <c r="G165" s="218"/>
      <c r="H165" s="264"/>
      <c r="I165" s="286"/>
      <c r="J165" s="80"/>
      <c r="K165" s="79"/>
      <c r="L165" s="76"/>
      <c r="M165" s="76"/>
      <c r="N165" s="76"/>
      <c r="O165" s="70"/>
      <c r="P165" s="70"/>
      <c r="Q165" s="70"/>
      <c r="R165" s="70"/>
      <c r="S165" s="70"/>
      <c r="T165" s="70"/>
      <c r="U165" s="70"/>
      <c r="V165" s="43"/>
      <c r="W165" s="43"/>
      <c r="X165" s="43"/>
      <c r="Y165" s="43"/>
      <c r="Z165" s="43"/>
      <c r="AA165" s="43"/>
      <c r="AB165" s="43"/>
      <c r="AC165" s="43"/>
      <c r="AD165" s="43"/>
    </row>
    <row r="166" spans="1:30">
      <c r="A166" s="186"/>
      <c r="B166" s="309"/>
      <c r="C166" s="336"/>
      <c r="D166" s="427"/>
      <c r="E166" s="384"/>
      <c r="F166" s="218"/>
      <c r="G166" s="218"/>
      <c r="H166" s="264"/>
      <c r="I166" s="286"/>
      <c r="J166" s="80"/>
      <c r="K166" s="79"/>
      <c r="L166" s="76"/>
      <c r="M166" s="76"/>
      <c r="N166" s="76"/>
      <c r="O166" s="70"/>
      <c r="P166" s="70"/>
      <c r="Q166" s="70"/>
      <c r="R166" s="70"/>
      <c r="S166" s="70"/>
      <c r="T166" s="70"/>
      <c r="U166" s="70"/>
      <c r="V166" s="43"/>
      <c r="W166" s="43"/>
      <c r="X166" s="43"/>
      <c r="Y166" s="43"/>
      <c r="Z166" s="43"/>
      <c r="AA166" s="43"/>
      <c r="AB166" s="43"/>
      <c r="AC166" s="43"/>
      <c r="AD166" s="43"/>
    </row>
    <row r="167" spans="1:30">
      <c r="A167" s="186"/>
      <c r="B167" s="309"/>
      <c r="C167" s="336"/>
      <c r="D167" s="235"/>
      <c r="E167" s="218"/>
      <c r="F167" s="218"/>
      <c r="G167" s="218"/>
      <c r="H167" s="264"/>
      <c r="I167" s="286"/>
      <c r="J167" s="80"/>
      <c r="K167" s="79"/>
      <c r="L167" s="76"/>
      <c r="M167" s="76"/>
      <c r="N167" s="76"/>
      <c r="O167" s="70"/>
      <c r="P167" s="70"/>
      <c r="Q167" s="70"/>
      <c r="R167" s="70"/>
      <c r="S167" s="70"/>
      <c r="T167" s="70"/>
      <c r="U167" s="70"/>
      <c r="V167" s="43"/>
      <c r="W167" s="43"/>
      <c r="X167" s="43"/>
      <c r="Y167" s="43"/>
      <c r="Z167" s="43"/>
      <c r="AA167" s="43"/>
      <c r="AB167" s="43"/>
      <c r="AC167" s="43"/>
      <c r="AD167" s="43"/>
    </row>
    <row r="168" spans="1:30">
      <c r="A168" s="186"/>
      <c r="B168" s="309"/>
      <c r="C168" s="336"/>
      <c r="D168" s="235"/>
      <c r="E168" s="218"/>
      <c r="F168" s="218"/>
      <c r="G168" s="218"/>
      <c r="H168" s="264"/>
      <c r="I168" s="286"/>
      <c r="J168" s="80"/>
      <c r="K168" s="79"/>
      <c r="L168" s="76"/>
      <c r="M168" s="76"/>
      <c r="N168" s="76"/>
      <c r="O168" s="70"/>
      <c r="P168" s="70"/>
      <c r="Q168" s="70"/>
      <c r="R168" s="70"/>
      <c r="S168" s="70"/>
      <c r="T168" s="70"/>
      <c r="U168" s="70"/>
      <c r="V168" s="43"/>
      <c r="W168" s="43"/>
      <c r="X168" s="43"/>
      <c r="Y168" s="43"/>
      <c r="Z168" s="43"/>
      <c r="AA168" s="43"/>
      <c r="AB168" s="43"/>
      <c r="AC168" s="43"/>
      <c r="AD168" s="43"/>
    </row>
    <row r="169" spans="1:30">
      <c r="A169" s="186"/>
      <c r="B169" s="309"/>
      <c r="C169" s="336"/>
      <c r="D169" s="235"/>
      <c r="E169" s="218"/>
      <c r="F169" s="218"/>
      <c r="G169" s="218"/>
      <c r="H169" s="264"/>
      <c r="I169" s="286"/>
      <c r="J169" s="80"/>
      <c r="K169" s="79"/>
      <c r="L169" s="76"/>
      <c r="M169" s="76"/>
      <c r="N169" s="76"/>
      <c r="O169" s="70"/>
      <c r="P169" s="70"/>
      <c r="Q169" s="70"/>
      <c r="R169" s="70"/>
      <c r="S169" s="70"/>
      <c r="T169" s="70"/>
      <c r="U169" s="70"/>
      <c r="V169" s="43"/>
      <c r="W169" s="43"/>
      <c r="X169" s="43"/>
      <c r="Y169" s="43"/>
      <c r="Z169" s="43"/>
      <c r="AA169" s="43"/>
      <c r="AB169" s="43"/>
      <c r="AC169" s="43"/>
      <c r="AD169" s="43"/>
    </row>
    <row r="170" spans="1:30">
      <c r="A170" s="186"/>
      <c r="B170" s="309"/>
      <c r="C170" s="336"/>
      <c r="D170" s="235"/>
      <c r="E170" s="218"/>
      <c r="F170" s="218"/>
      <c r="G170" s="218"/>
      <c r="H170" s="264"/>
      <c r="I170" s="286"/>
      <c r="J170" s="80"/>
      <c r="K170" s="79"/>
      <c r="L170" s="76"/>
      <c r="M170" s="76"/>
      <c r="N170" s="76"/>
      <c r="O170" s="70"/>
      <c r="P170" s="70"/>
      <c r="Q170" s="70"/>
      <c r="R170" s="70"/>
      <c r="S170" s="70"/>
      <c r="T170" s="70"/>
      <c r="U170" s="70"/>
      <c r="V170" s="43"/>
      <c r="W170" s="43"/>
      <c r="X170" s="43"/>
      <c r="Y170" s="43"/>
      <c r="Z170" s="43"/>
      <c r="AA170" s="43"/>
      <c r="AB170" s="43"/>
      <c r="AC170" s="43"/>
      <c r="AD170" s="43"/>
    </row>
    <row r="171" spans="1:30">
      <c r="A171" s="186"/>
      <c r="B171" s="309"/>
      <c r="C171" s="336"/>
      <c r="D171" s="235"/>
      <c r="E171" s="218"/>
      <c r="F171" s="218"/>
      <c r="G171" s="218"/>
      <c r="H171" s="264"/>
      <c r="I171" s="286"/>
      <c r="J171" s="80"/>
      <c r="K171" s="79"/>
      <c r="L171" s="76"/>
      <c r="M171" s="76"/>
      <c r="N171" s="76"/>
      <c r="O171" s="70"/>
      <c r="P171" s="70"/>
      <c r="Q171" s="70"/>
      <c r="R171" s="70"/>
      <c r="S171" s="70"/>
      <c r="T171" s="70"/>
      <c r="U171" s="70"/>
      <c r="V171" s="43"/>
      <c r="W171" s="43"/>
      <c r="X171" s="43"/>
      <c r="Y171" s="43"/>
      <c r="Z171" s="43"/>
      <c r="AA171" s="43"/>
      <c r="AB171" s="43"/>
      <c r="AC171" s="43"/>
      <c r="AD171" s="43"/>
    </row>
    <row r="172" spans="1:30">
      <c r="A172" s="186"/>
      <c r="B172" s="309"/>
      <c r="C172" s="336"/>
      <c r="D172" s="235"/>
      <c r="E172" s="218"/>
      <c r="F172" s="218"/>
      <c r="G172" s="218"/>
      <c r="H172" s="264"/>
      <c r="I172" s="286"/>
      <c r="J172" s="80"/>
      <c r="K172" s="79"/>
      <c r="L172" s="76"/>
      <c r="M172" s="76"/>
      <c r="N172" s="76"/>
      <c r="O172" s="70"/>
      <c r="P172" s="70"/>
      <c r="Q172" s="70"/>
      <c r="R172" s="70"/>
      <c r="S172" s="70"/>
      <c r="T172" s="70"/>
      <c r="U172" s="70"/>
      <c r="V172" s="43"/>
      <c r="W172" s="43"/>
      <c r="X172" s="43"/>
      <c r="Y172" s="43"/>
      <c r="Z172" s="43"/>
      <c r="AA172" s="43"/>
      <c r="AB172" s="43"/>
      <c r="AC172" s="43"/>
      <c r="AD172" s="43"/>
    </row>
    <row r="173" spans="1:30">
      <c r="A173" s="186"/>
      <c r="B173" s="309"/>
      <c r="C173" s="336"/>
      <c r="D173" s="235"/>
      <c r="E173" s="218"/>
      <c r="F173" s="218"/>
      <c r="G173" s="218"/>
      <c r="H173" s="264"/>
      <c r="I173" s="286"/>
      <c r="J173" s="80"/>
      <c r="K173" s="79"/>
      <c r="L173" s="76"/>
      <c r="M173" s="76"/>
      <c r="N173" s="76"/>
      <c r="O173" s="70"/>
      <c r="P173" s="70"/>
      <c r="Q173" s="70"/>
      <c r="R173" s="70"/>
      <c r="S173" s="70"/>
      <c r="T173" s="70"/>
      <c r="U173" s="70"/>
      <c r="V173" s="43"/>
      <c r="W173" s="43"/>
      <c r="X173" s="43"/>
      <c r="Y173" s="43"/>
      <c r="Z173" s="43"/>
      <c r="AA173" s="43"/>
      <c r="AB173" s="43"/>
      <c r="AC173" s="43"/>
      <c r="AD173" s="43"/>
    </row>
    <row r="174" spans="1:30">
      <c r="A174" s="186"/>
      <c r="B174" s="309"/>
      <c r="C174" s="336"/>
      <c r="D174" s="235"/>
      <c r="E174" s="218"/>
      <c r="F174" s="218"/>
      <c r="G174" s="218"/>
      <c r="H174" s="264"/>
      <c r="I174" s="286"/>
      <c r="J174" s="80"/>
      <c r="K174" s="79"/>
      <c r="L174" s="76"/>
      <c r="M174" s="76"/>
      <c r="N174" s="76"/>
      <c r="O174" s="70"/>
      <c r="P174" s="70"/>
      <c r="Q174" s="70"/>
      <c r="R174" s="70"/>
      <c r="S174" s="70"/>
      <c r="T174" s="70"/>
      <c r="U174" s="70"/>
      <c r="V174" s="43"/>
      <c r="W174" s="43"/>
      <c r="X174" s="43"/>
      <c r="Y174" s="43"/>
      <c r="Z174" s="43"/>
      <c r="AA174" s="43"/>
      <c r="AB174" s="43"/>
      <c r="AC174" s="43"/>
      <c r="AD174" s="43"/>
    </row>
    <row r="175" spans="1:30">
      <c r="A175" s="186"/>
      <c r="B175" s="309"/>
      <c r="C175" s="336"/>
      <c r="D175" s="235"/>
      <c r="E175" s="221"/>
      <c r="F175" s="221"/>
      <c r="G175" s="218"/>
      <c r="H175" s="264"/>
      <c r="I175" s="286"/>
      <c r="J175" s="80"/>
      <c r="K175" s="79"/>
      <c r="L175" s="76"/>
      <c r="M175" s="76"/>
      <c r="N175" s="76"/>
      <c r="O175" s="70"/>
      <c r="P175" s="70"/>
      <c r="Q175" s="70"/>
      <c r="R175" s="70"/>
      <c r="S175" s="70"/>
      <c r="T175" s="70"/>
      <c r="U175" s="70"/>
      <c r="V175" s="43"/>
      <c r="W175" s="43"/>
      <c r="X175" s="43"/>
      <c r="Y175" s="43"/>
      <c r="Z175" s="43"/>
      <c r="AA175" s="43"/>
      <c r="AB175" s="43"/>
      <c r="AC175" s="43"/>
      <c r="AD175" s="43"/>
    </row>
    <row r="176" spans="1:30">
      <c r="A176" s="186"/>
      <c r="B176" s="309"/>
      <c r="C176" s="336"/>
      <c r="D176" s="235"/>
      <c r="E176" s="221"/>
      <c r="F176" s="221"/>
      <c r="G176" s="218"/>
      <c r="H176" s="264"/>
      <c r="I176" s="286"/>
      <c r="J176" s="80"/>
      <c r="K176" s="79"/>
      <c r="L176" s="76"/>
      <c r="M176" s="76"/>
      <c r="N176" s="76"/>
      <c r="O176" s="70"/>
      <c r="P176" s="70"/>
      <c r="Q176" s="70"/>
      <c r="R176" s="70"/>
      <c r="S176" s="70"/>
      <c r="T176" s="70"/>
      <c r="U176" s="70"/>
      <c r="V176" s="43"/>
      <c r="W176" s="43"/>
      <c r="X176" s="43"/>
      <c r="Y176" s="43"/>
      <c r="Z176" s="43"/>
      <c r="AA176" s="43"/>
      <c r="AB176" s="43"/>
      <c r="AC176" s="43"/>
      <c r="AD176" s="43"/>
    </row>
    <row r="177" spans="1:30">
      <c r="A177" s="186"/>
      <c r="B177" s="309"/>
      <c r="C177" s="336"/>
      <c r="D177" s="235"/>
      <c r="E177" s="221"/>
      <c r="F177" s="221"/>
      <c r="G177" s="218"/>
      <c r="H177" s="264"/>
      <c r="I177" s="286"/>
      <c r="J177" s="80"/>
      <c r="K177" s="79"/>
      <c r="L177" s="76"/>
      <c r="M177" s="76"/>
      <c r="N177" s="76"/>
      <c r="O177" s="70"/>
      <c r="P177" s="70"/>
      <c r="Q177" s="70"/>
      <c r="R177" s="70"/>
      <c r="S177" s="70"/>
      <c r="T177" s="70"/>
      <c r="U177" s="70"/>
      <c r="V177" s="43"/>
      <c r="W177" s="43"/>
      <c r="X177" s="43"/>
      <c r="Y177" s="43"/>
      <c r="Z177" s="43"/>
      <c r="AA177" s="43"/>
      <c r="AB177" s="43"/>
      <c r="AC177" s="43"/>
      <c r="AD177" s="43"/>
    </row>
    <row r="178" spans="1:30">
      <c r="A178" s="186"/>
      <c r="B178" s="309"/>
      <c r="C178" s="336"/>
      <c r="D178" s="235"/>
      <c r="E178" s="218"/>
      <c r="F178" s="218"/>
      <c r="G178" s="218"/>
      <c r="H178" s="264"/>
      <c r="I178" s="286"/>
      <c r="J178" s="80"/>
      <c r="K178" s="79"/>
      <c r="L178" s="76"/>
      <c r="M178" s="76"/>
      <c r="N178" s="76"/>
      <c r="O178" s="70"/>
      <c r="P178" s="70"/>
      <c r="Q178" s="70"/>
      <c r="R178" s="70"/>
      <c r="S178" s="70"/>
      <c r="T178" s="70"/>
      <c r="U178" s="70"/>
      <c r="V178" s="43"/>
      <c r="W178" s="43"/>
      <c r="X178" s="43"/>
      <c r="Y178" s="43"/>
      <c r="Z178" s="43"/>
      <c r="AA178" s="43"/>
      <c r="AB178" s="43"/>
      <c r="AC178" s="43"/>
      <c r="AD178" s="43"/>
    </row>
    <row r="179" spans="1:30">
      <c r="A179" s="186"/>
      <c r="B179" s="309"/>
      <c r="C179" s="336"/>
      <c r="D179" s="235"/>
      <c r="E179" s="218"/>
      <c r="F179" s="218"/>
      <c r="G179" s="218"/>
      <c r="H179" s="264"/>
      <c r="I179" s="286"/>
      <c r="J179" s="80"/>
      <c r="K179" s="79"/>
      <c r="L179" s="76"/>
      <c r="M179" s="76"/>
      <c r="N179" s="76"/>
      <c r="O179" s="70"/>
      <c r="P179" s="70"/>
      <c r="Q179" s="70"/>
      <c r="R179" s="70"/>
      <c r="S179" s="70"/>
      <c r="T179" s="70"/>
      <c r="U179" s="70"/>
      <c r="V179" s="43"/>
      <c r="W179" s="43"/>
      <c r="X179" s="43"/>
      <c r="Y179" s="43"/>
      <c r="Z179" s="43"/>
      <c r="AA179" s="43"/>
      <c r="AB179" s="43"/>
      <c r="AC179" s="43"/>
      <c r="AD179" s="43"/>
    </row>
    <row r="180" spans="1:30">
      <c r="A180" s="186"/>
      <c r="B180" s="309"/>
      <c r="C180" s="338"/>
      <c r="D180" s="235"/>
      <c r="E180" s="218"/>
      <c r="F180" s="218"/>
      <c r="G180" s="218"/>
      <c r="H180" s="264"/>
      <c r="I180" s="286"/>
      <c r="J180" s="80"/>
      <c r="K180" s="79"/>
      <c r="L180" s="76"/>
      <c r="M180" s="76"/>
      <c r="N180" s="76"/>
      <c r="O180" s="70"/>
      <c r="P180" s="70"/>
      <c r="Q180" s="70"/>
      <c r="R180" s="70"/>
      <c r="S180" s="70"/>
      <c r="T180" s="70"/>
      <c r="U180" s="70"/>
      <c r="V180" s="43"/>
      <c r="W180" s="43"/>
      <c r="X180" s="43"/>
      <c r="Y180" s="43"/>
      <c r="Z180" s="43"/>
      <c r="AA180" s="43"/>
      <c r="AB180" s="43"/>
      <c r="AC180" s="43"/>
      <c r="AD180" s="43"/>
    </row>
    <row r="181" spans="1:30">
      <c r="A181" s="186"/>
      <c r="B181" s="309"/>
      <c r="C181" s="336"/>
      <c r="D181" s="235"/>
      <c r="E181" s="218"/>
      <c r="F181" s="218"/>
      <c r="G181" s="218"/>
      <c r="H181" s="264"/>
      <c r="I181" s="286"/>
      <c r="J181" s="80"/>
      <c r="K181" s="79"/>
      <c r="L181" s="76"/>
      <c r="M181" s="76"/>
      <c r="N181" s="76"/>
      <c r="O181" s="70"/>
      <c r="P181" s="70"/>
      <c r="Q181" s="70"/>
      <c r="R181" s="70"/>
      <c r="S181" s="70"/>
      <c r="T181" s="70"/>
      <c r="U181" s="70"/>
      <c r="V181" s="43"/>
      <c r="W181" s="43"/>
      <c r="X181" s="43"/>
      <c r="Y181" s="43"/>
      <c r="Z181" s="43"/>
      <c r="AA181" s="43"/>
      <c r="AB181" s="43"/>
      <c r="AC181" s="43"/>
      <c r="AD181" s="43"/>
    </row>
    <row r="182" spans="1:30">
      <c r="A182" s="186"/>
      <c r="B182" s="311"/>
      <c r="C182" s="336"/>
      <c r="D182" s="234"/>
      <c r="E182" s="223"/>
      <c r="F182" s="221"/>
      <c r="G182" s="218"/>
      <c r="H182" s="264"/>
      <c r="I182" s="286"/>
      <c r="J182" s="80"/>
      <c r="K182" s="79"/>
      <c r="L182" s="76"/>
      <c r="M182" s="76"/>
      <c r="N182" s="76"/>
      <c r="O182" s="70"/>
      <c r="P182" s="70"/>
      <c r="Q182" s="70"/>
      <c r="R182" s="70"/>
      <c r="S182" s="70"/>
      <c r="T182" s="70"/>
      <c r="U182" s="70"/>
      <c r="V182" s="43"/>
      <c r="W182" s="43"/>
      <c r="X182" s="43"/>
      <c r="Y182" s="43"/>
      <c r="Z182" s="43"/>
      <c r="AA182" s="43"/>
      <c r="AB182" s="43"/>
      <c r="AC182" s="43"/>
      <c r="AD182" s="43"/>
    </row>
    <row r="183" spans="1:30">
      <c r="A183" s="186"/>
      <c r="B183" s="309"/>
      <c r="C183" s="336"/>
      <c r="D183" s="235"/>
      <c r="E183" s="218"/>
      <c r="F183" s="218"/>
      <c r="G183" s="218"/>
      <c r="H183" s="264"/>
      <c r="I183" s="286"/>
      <c r="J183" s="80"/>
      <c r="K183" s="79"/>
      <c r="L183" s="76"/>
      <c r="M183" s="76"/>
      <c r="N183" s="76"/>
      <c r="O183" s="70"/>
      <c r="P183" s="70"/>
      <c r="Q183" s="70"/>
      <c r="R183" s="70"/>
      <c r="S183" s="70"/>
      <c r="T183" s="70"/>
      <c r="U183" s="70"/>
      <c r="V183" s="43"/>
      <c r="W183" s="43"/>
      <c r="X183" s="43"/>
      <c r="Y183" s="43"/>
      <c r="Z183" s="43"/>
      <c r="AA183" s="43"/>
      <c r="AB183" s="43"/>
      <c r="AC183" s="43"/>
      <c r="AD183" s="43"/>
    </row>
    <row r="184" spans="1:30">
      <c r="A184" s="186"/>
      <c r="B184" s="309"/>
      <c r="C184" s="336"/>
      <c r="D184" s="235"/>
      <c r="E184" s="218"/>
      <c r="F184" s="218"/>
      <c r="G184" s="218"/>
      <c r="H184" s="264"/>
      <c r="I184" s="286"/>
      <c r="J184" s="80"/>
      <c r="K184" s="79"/>
      <c r="L184" s="76"/>
      <c r="M184" s="76"/>
      <c r="N184" s="76"/>
      <c r="O184" s="70"/>
      <c r="P184" s="70"/>
      <c r="Q184" s="70"/>
      <c r="R184" s="70"/>
      <c r="S184" s="70"/>
      <c r="T184" s="70"/>
      <c r="U184" s="70"/>
      <c r="V184" s="43"/>
      <c r="W184" s="43"/>
      <c r="X184" s="43"/>
      <c r="Y184" s="43"/>
      <c r="Z184" s="43"/>
      <c r="AA184" s="43"/>
      <c r="AB184" s="43"/>
      <c r="AC184" s="43"/>
      <c r="AD184" s="43"/>
    </row>
    <row r="185" spans="1:30">
      <c r="A185" s="186"/>
      <c r="B185" s="309"/>
      <c r="C185" s="336"/>
      <c r="D185" s="235"/>
      <c r="E185" s="218"/>
      <c r="F185" s="218"/>
      <c r="G185" s="218"/>
      <c r="H185" s="264"/>
      <c r="I185" s="286"/>
      <c r="J185" s="80"/>
      <c r="K185" s="79"/>
      <c r="L185" s="79"/>
      <c r="M185" s="76"/>
      <c r="N185" s="76"/>
      <c r="O185" s="70"/>
      <c r="P185" s="70"/>
      <c r="Q185" s="70"/>
      <c r="R185" s="70"/>
      <c r="S185" s="70"/>
      <c r="T185" s="70"/>
      <c r="U185" s="70"/>
      <c r="V185" s="43"/>
      <c r="W185" s="43"/>
      <c r="X185" s="43"/>
      <c r="Y185" s="43"/>
      <c r="Z185" s="43"/>
      <c r="AA185" s="43"/>
      <c r="AB185" s="43"/>
      <c r="AC185" s="43"/>
      <c r="AD185" s="43"/>
    </row>
    <row r="186" spans="1:30">
      <c r="A186" s="186"/>
      <c r="B186" s="309"/>
      <c r="C186" s="336"/>
      <c r="D186" s="235"/>
      <c r="E186" s="218"/>
      <c r="F186" s="218"/>
      <c r="G186" s="218"/>
      <c r="H186" s="264"/>
      <c r="I186" s="286"/>
      <c r="J186" s="80"/>
      <c r="K186" s="79"/>
      <c r="L186" s="79"/>
      <c r="M186" s="76"/>
      <c r="N186" s="76"/>
      <c r="O186" s="70"/>
      <c r="P186" s="70"/>
      <c r="Q186" s="70"/>
      <c r="R186" s="70"/>
      <c r="S186" s="70"/>
      <c r="T186" s="70"/>
      <c r="U186" s="70"/>
      <c r="V186" s="43"/>
      <c r="W186" s="43"/>
      <c r="X186" s="43"/>
      <c r="Y186" s="43"/>
      <c r="Z186" s="43"/>
      <c r="AA186" s="43"/>
      <c r="AB186" s="43"/>
      <c r="AC186" s="43"/>
      <c r="AD186" s="43"/>
    </row>
    <row r="187" spans="1:30">
      <c r="A187" s="186"/>
      <c r="B187" s="309"/>
      <c r="C187" s="336"/>
      <c r="D187" s="237"/>
      <c r="E187" s="220"/>
      <c r="F187" s="218"/>
      <c r="G187" s="218"/>
      <c r="H187" s="264"/>
      <c r="I187" s="286"/>
      <c r="J187" s="80"/>
      <c r="K187" s="79"/>
      <c r="L187" s="79"/>
      <c r="M187" s="76"/>
      <c r="N187" s="76"/>
      <c r="O187" s="70"/>
      <c r="P187" s="70"/>
      <c r="Q187" s="70"/>
      <c r="R187" s="70"/>
      <c r="S187" s="70"/>
      <c r="T187" s="70"/>
      <c r="U187" s="70"/>
      <c r="V187" s="43"/>
      <c r="W187" s="43"/>
      <c r="X187" s="43"/>
      <c r="Y187" s="43"/>
      <c r="Z187" s="43"/>
      <c r="AA187" s="43"/>
      <c r="AB187" s="43"/>
      <c r="AC187" s="43"/>
      <c r="AD187" s="43"/>
    </row>
    <row r="188" spans="1:30">
      <c r="A188" s="186"/>
      <c r="B188" s="309"/>
      <c r="C188" s="336"/>
      <c r="D188" s="234"/>
      <c r="E188" s="223"/>
      <c r="F188" s="218"/>
      <c r="G188" s="218"/>
      <c r="H188" s="264"/>
      <c r="I188" s="286"/>
      <c r="J188" s="80"/>
      <c r="K188" s="79"/>
      <c r="L188" s="79"/>
      <c r="M188" s="76"/>
      <c r="N188" s="76"/>
      <c r="O188" s="70"/>
      <c r="P188" s="70"/>
      <c r="Q188" s="70"/>
      <c r="R188" s="70"/>
      <c r="S188" s="70"/>
      <c r="T188" s="70"/>
      <c r="U188" s="70"/>
      <c r="V188" s="43"/>
      <c r="W188" s="43"/>
      <c r="X188" s="43"/>
      <c r="Y188" s="43"/>
      <c r="Z188" s="43"/>
      <c r="AA188" s="43"/>
      <c r="AB188" s="43"/>
      <c r="AC188" s="43"/>
      <c r="AD188" s="43"/>
    </row>
    <row r="189" spans="1:30">
      <c r="A189" s="186"/>
      <c r="B189" s="309"/>
      <c r="C189" s="336"/>
      <c r="D189" s="234"/>
      <c r="E189" s="223"/>
      <c r="F189" s="218"/>
      <c r="G189" s="218"/>
      <c r="H189" s="264"/>
      <c r="I189" s="286"/>
      <c r="J189" s="80"/>
      <c r="K189" s="79"/>
      <c r="L189" s="79"/>
      <c r="M189" s="76"/>
      <c r="N189" s="76"/>
      <c r="O189" s="70"/>
      <c r="P189" s="70"/>
      <c r="Q189" s="70"/>
      <c r="R189" s="70"/>
      <c r="S189" s="70"/>
      <c r="T189" s="70"/>
      <c r="U189" s="70"/>
      <c r="V189" s="43"/>
      <c r="W189" s="43"/>
      <c r="X189" s="43"/>
      <c r="Y189" s="43"/>
      <c r="Z189" s="43"/>
      <c r="AA189" s="43"/>
      <c r="AB189" s="43"/>
      <c r="AC189" s="43"/>
      <c r="AD189" s="43"/>
    </row>
    <row r="190" spans="1:30">
      <c r="A190" s="186"/>
      <c r="B190" s="309"/>
      <c r="C190" s="336"/>
      <c r="D190" s="236"/>
      <c r="E190" s="221"/>
      <c r="F190" s="218"/>
      <c r="G190" s="218"/>
      <c r="H190" s="264"/>
      <c r="I190" s="286"/>
      <c r="J190" s="80"/>
      <c r="K190" s="79"/>
      <c r="L190" s="79"/>
      <c r="M190" s="76"/>
      <c r="N190" s="76"/>
      <c r="O190" s="70"/>
      <c r="P190" s="70"/>
      <c r="Q190" s="70"/>
      <c r="R190" s="70"/>
      <c r="S190" s="70"/>
      <c r="T190" s="70"/>
      <c r="U190" s="70"/>
      <c r="V190" s="43"/>
      <c r="W190" s="43"/>
      <c r="X190" s="43"/>
      <c r="Y190" s="43"/>
      <c r="Z190" s="43"/>
      <c r="AA190" s="43"/>
      <c r="AB190" s="43"/>
      <c r="AC190" s="43"/>
      <c r="AD190" s="43"/>
    </row>
    <row r="191" spans="1:30">
      <c r="A191" s="186"/>
      <c r="B191" s="309"/>
      <c r="C191" s="336"/>
      <c r="D191" s="235"/>
      <c r="E191" s="218"/>
      <c r="F191" s="218"/>
      <c r="G191" s="218"/>
      <c r="H191" s="264"/>
      <c r="I191" s="286"/>
      <c r="J191" s="73"/>
      <c r="K191" s="79"/>
      <c r="L191" s="76"/>
      <c r="M191" s="76"/>
      <c r="N191" s="76"/>
      <c r="O191" s="70"/>
      <c r="P191" s="70"/>
      <c r="Q191" s="70"/>
      <c r="R191" s="70"/>
      <c r="S191" s="70"/>
      <c r="T191" s="70"/>
      <c r="U191" s="70"/>
      <c r="V191" s="43"/>
      <c r="W191" s="43"/>
      <c r="X191" s="43"/>
      <c r="Y191" s="43"/>
      <c r="Z191" s="43"/>
      <c r="AA191" s="43"/>
      <c r="AB191" s="43"/>
      <c r="AC191" s="43"/>
      <c r="AD191" s="43"/>
    </row>
    <row r="192" spans="1:30">
      <c r="A192" s="186"/>
      <c r="B192" s="309"/>
      <c r="C192" s="336"/>
      <c r="D192" s="235"/>
      <c r="E192" s="218"/>
      <c r="F192" s="215"/>
      <c r="G192" s="218"/>
      <c r="H192" s="262"/>
      <c r="I192" s="284"/>
      <c r="J192" s="82"/>
      <c r="K192" s="76"/>
      <c r="L192" s="76"/>
      <c r="M192" s="76"/>
      <c r="N192" s="76"/>
      <c r="O192" s="70"/>
      <c r="P192" s="70"/>
      <c r="Q192" s="70"/>
      <c r="R192" s="70"/>
      <c r="S192" s="70"/>
      <c r="T192" s="70"/>
      <c r="U192" s="70"/>
      <c r="V192" s="43"/>
      <c r="W192" s="43"/>
      <c r="X192" s="43"/>
      <c r="Y192" s="43"/>
      <c r="Z192" s="43"/>
      <c r="AA192" s="43"/>
      <c r="AB192" s="43"/>
      <c r="AC192" s="43"/>
      <c r="AD192" s="43"/>
    </row>
    <row r="193" spans="1:30">
      <c r="A193" s="186"/>
      <c r="B193" s="309"/>
      <c r="C193" s="336"/>
      <c r="D193" s="235"/>
      <c r="E193" s="220"/>
      <c r="F193" s="222"/>
      <c r="G193" s="222"/>
      <c r="H193" s="265"/>
      <c r="I193" s="287"/>
      <c r="J193" s="82"/>
      <c r="K193" s="81"/>
      <c r="L193" s="76"/>
      <c r="M193" s="76"/>
      <c r="N193" s="76"/>
      <c r="O193" s="70"/>
      <c r="P193" s="70"/>
      <c r="Q193" s="70"/>
      <c r="R193" s="70"/>
      <c r="S193" s="70"/>
      <c r="T193" s="70"/>
      <c r="U193" s="70"/>
      <c r="V193" s="43"/>
      <c r="W193" s="43"/>
      <c r="X193" s="43"/>
      <c r="Y193" s="43"/>
      <c r="Z193" s="43"/>
      <c r="AA193" s="43"/>
      <c r="AB193" s="43"/>
      <c r="AC193" s="43"/>
      <c r="AD193" s="43"/>
    </row>
    <row r="194" spans="1:30">
      <c r="A194" s="186"/>
      <c r="B194" s="309"/>
      <c r="C194" s="336"/>
      <c r="D194" s="235"/>
      <c r="E194" s="220"/>
      <c r="F194" s="222"/>
      <c r="G194" s="222"/>
      <c r="H194" s="265"/>
      <c r="I194" s="287"/>
      <c r="J194" s="82"/>
      <c r="K194" s="81"/>
      <c r="L194" s="76"/>
      <c r="M194" s="76"/>
      <c r="N194" s="187"/>
      <c r="O194" s="70"/>
      <c r="P194" s="70"/>
      <c r="Q194" s="70"/>
      <c r="R194" s="70"/>
      <c r="S194" s="70"/>
      <c r="T194" s="70"/>
      <c r="U194" s="70"/>
      <c r="V194" s="43"/>
      <c r="W194" s="43"/>
      <c r="X194" s="43"/>
      <c r="Y194" s="43"/>
      <c r="Z194" s="43"/>
      <c r="AA194" s="43"/>
      <c r="AB194" s="43"/>
      <c r="AC194" s="43"/>
      <c r="AD194" s="43"/>
    </row>
    <row r="195" spans="1:30">
      <c r="A195" s="186"/>
      <c r="B195" s="309"/>
      <c r="C195" s="336"/>
      <c r="D195" s="235"/>
      <c r="E195" s="220"/>
      <c r="F195" s="222"/>
      <c r="G195" s="222"/>
      <c r="H195" s="265"/>
      <c r="I195" s="287"/>
      <c r="J195" s="82"/>
      <c r="K195" s="81"/>
      <c r="L195" s="76"/>
      <c r="M195" s="76"/>
      <c r="N195" s="187"/>
      <c r="O195" s="70"/>
      <c r="P195" s="70"/>
      <c r="Q195" s="70"/>
      <c r="R195" s="70"/>
      <c r="S195" s="70"/>
      <c r="T195" s="70"/>
      <c r="U195" s="70"/>
      <c r="V195" s="43"/>
      <c r="W195" s="43"/>
      <c r="X195" s="43"/>
      <c r="Y195" s="43"/>
      <c r="Z195" s="43"/>
      <c r="AA195" s="43"/>
      <c r="AB195" s="43"/>
      <c r="AC195" s="43"/>
      <c r="AD195" s="43"/>
    </row>
    <row r="196" spans="1:30" ht="409.5">
      <c r="A196" s="186"/>
      <c r="B196" s="309"/>
      <c r="C196" s="336"/>
      <c r="D196" s="235"/>
      <c r="E196" s="220"/>
      <c r="F196" s="222"/>
      <c r="G196" s="222"/>
      <c r="H196" s="265" t="s">
        <v>52</v>
      </c>
      <c r="I196" s="287"/>
      <c r="J196" s="82"/>
      <c r="K196" s="81"/>
      <c r="L196" s="76"/>
      <c r="M196" s="76"/>
      <c r="N196" s="187"/>
      <c r="O196" s="70"/>
      <c r="P196" s="70"/>
      <c r="Q196" s="70"/>
      <c r="R196" s="70"/>
      <c r="S196" s="70"/>
      <c r="T196" s="70"/>
      <c r="U196" s="70"/>
      <c r="V196" s="43"/>
      <c r="W196" s="43"/>
      <c r="X196" s="43"/>
      <c r="Y196" s="43"/>
      <c r="Z196" s="43"/>
      <c r="AA196" s="43"/>
      <c r="AB196" s="43"/>
      <c r="AC196" s="43"/>
      <c r="AD196" s="43"/>
    </row>
    <row r="197" spans="1:30">
      <c r="A197" s="186"/>
      <c r="B197" s="309"/>
      <c r="C197" s="336"/>
      <c r="D197" s="235"/>
      <c r="E197" s="220"/>
      <c r="F197" s="222"/>
      <c r="G197" s="222"/>
      <c r="H197" s="265"/>
      <c r="I197" s="287"/>
      <c r="J197" s="84"/>
      <c r="K197" s="81"/>
      <c r="L197" s="85"/>
      <c r="M197" s="76"/>
      <c r="N197" s="187"/>
      <c r="O197" s="70"/>
      <c r="P197" s="70"/>
      <c r="Q197" s="70"/>
      <c r="R197" s="70"/>
      <c r="S197" s="70"/>
      <c r="T197" s="70"/>
      <c r="U197" s="70"/>
      <c r="V197" s="43"/>
      <c r="W197" s="43"/>
      <c r="X197" s="43"/>
      <c r="Y197" s="43"/>
      <c r="Z197" s="43"/>
      <c r="AA197" s="43"/>
      <c r="AB197" s="43"/>
      <c r="AC197" s="43"/>
      <c r="AD197" s="43"/>
    </row>
    <row r="198" spans="1:30">
      <c r="A198" s="186"/>
      <c r="B198" s="309"/>
      <c r="C198" s="336"/>
      <c r="D198" s="235"/>
      <c r="E198" s="220"/>
      <c r="F198" s="222"/>
      <c r="G198" s="222"/>
      <c r="H198" s="266"/>
      <c r="I198" s="288"/>
      <c r="J198" s="73"/>
      <c r="K198" s="83"/>
      <c r="L198" s="76"/>
      <c r="M198" s="76"/>
      <c r="N198" s="187"/>
      <c r="O198" s="70"/>
      <c r="P198" s="70"/>
      <c r="Q198" s="70"/>
      <c r="R198" s="70"/>
      <c r="S198" s="70"/>
      <c r="T198" s="70"/>
      <c r="U198" s="70"/>
      <c r="V198" s="43"/>
      <c r="W198" s="43"/>
      <c r="X198" s="43"/>
      <c r="Y198" s="43"/>
      <c r="Z198" s="43"/>
      <c r="AA198" s="43"/>
      <c r="AB198" s="43"/>
      <c r="AC198" s="43"/>
      <c r="AD198" s="43"/>
    </row>
    <row r="199" spans="1:30">
      <c r="A199" s="186"/>
      <c r="B199" s="309"/>
      <c r="C199" s="336"/>
      <c r="D199" s="235"/>
      <c r="E199" s="220"/>
      <c r="F199" s="222"/>
      <c r="G199" s="30"/>
      <c r="H199" s="260"/>
      <c r="I199" s="282"/>
      <c r="J199" s="73"/>
      <c r="K199" s="72"/>
      <c r="L199" s="76"/>
      <c r="M199" s="76"/>
      <c r="N199" s="187"/>
      <c r="O199" s="70"/>
      <c r="P199" s="70"/>
      <c r="Q199" s="70"/>
      <c r="R199" s="70"/>
      <c r="S199" s="70"/>
      <c r="T199" s="70"/>
      <c r="U199" s="70"/>
      <c r="V199" s="43"/>
      <c r="W199" s="43"/>
      <c r="X199" s="43"/>
      <c r="Y199" s="43"/>
      <c r="Z199" s="43"/>
      <c r="AA199" s="43"/>
      <c r="AB199" s="43"/>
      <c r="AC199" s="43"/>
      <c r="AD199" s="43"/>
    </row>
    <row r="200" spans="1:30">
      <c r="A200" s="186"/>
      <c r="B200" s="309"/>
      <c r="C200" s="336"/>
      <c r="D200" s="237"/>
      <c r="E200" s="220"/>
      <c r="F200" s="222"/>
      <c r="G200" s="30"/>
      <c r="H200" s="260"/>
      <c r="I200" s="282"/>
      <c r="J200" s="73"/>
      <c r="K200" s="72"/>
      <c r="L200" s="76"/>
      <c r="M200" s="76"/>
      <c r="N200" s="187"/>
      <c r="O200" s="70"/>
      <c r="P200" s="70"/>
      <c r="Q200" s="70"/>
      <c r="R200" s="70"/>
      <c r="S200" s="70"/>
      <c r="T200" s="70"/>
      <c r="U200" s="70"/>
      <c r="V200" s="43"/>
      <c r="W200" s="43"/>
      <c r="X200" s="43"/>
      <c r="Y200" s="43"/>
      <c r="Z200" s="43"/>
      <c r="AA200" s="43"/>
      <c r="AB200" s="43"/>
      <c r="AC200" s="43"/>
      <c r="AD200" s="43"/>
    </row>
    <row r="201" spans="1:30">
      <c r="A201" s="186"/>
      <c r="B201" s="309"/>
      <c r="C201" s="336"/>
      <c r="D201" s="237"/>
      <c r="E201" s="220"/>
      <c r="F201" s="30"/>
      <c r="G201" s="30"/>
      <c r="H201" s="260"/>
      <c r="I201" s="282"/>
      <c r="J201" s="73"/>
      <c r="K201" s="72"/>
      <c r="L201" s="76"/>
      <c r="M201" s="76"/>
      <c r="N201" s="187"/>
      <c r="O201" s="70"/>
      <c r="P201" s="70"/>
      <c r="Q201" s="70"/>
      <c r="R201" s="70"/>
      <c r="S201" s="70"/>
      <c r="T201" s="70"/>
      <c r="U201" s="70"/>
      <c r="V201" s="43"/>
      <c r="W201" s="43"/>
      <c r="X201" s="43"/>
      <c r="Y201" s="43"/>
      <c r="Z201" s="43"/>
      <c r="AA201" s="43"/>
      <c r="AB201" s="43"/>
      <c r="AC201" s="43"/>
      <c r="AD201" s="43"/>
    </row>
    <row r="202" spans="1:30">
      <c r="A202" s="186"/>
      <c r="B202" s="309"/>
      <c r="C202" s="336"/>
      <c r="D202" s="235"/>
      <c r="E202" s="218"/>
      <c r="F202" s="30"/>
      <c r="G202" s="30"/>
      <c r="H202" s="260"/>
      <c r="I202" s="282"/>
      <c r="J202" s="73"/>
      <c r="K202" s="72"/>
      <c r="L202" s="76"/>
      <c r="M202" s="76"/>
      <c r="N202" s="187"/>
      <c r="O202" s="70"/>
      <c r="P202" s="70"/>
      <c r="Q202" s="70"/>
      <c r="R202" s="70"/>
      <c r="S202" s="70"/>
      <c r="T202" s="70"/>
      <c r="U202" s="70"/>
      <c r="V202" s="43"/>
      <c r="W202" s="43"/>
      <c r="X202" s="43"/>
      <c r="Y202" s="43"/>
      <c r="Z202" s="43"/>
      <c r="AA202" s="43"/>
      <c r="AB202" s="43"/>
      <c r="AC202" s="43"/>
      <c r="AD202" s="43"/>
    </row>
    <row r="203" spans="1:30">
      <c r="A203" s="186"/>
      <c r="B203" s="309"/>
      <c r="C203" s="336"/>
      <c r="D203" s="235"/>
      <c r="E203" s="218"/>
      <c r="F203" s="30"/>
      <c r="G203" s="30"/>
      <c r="H203" s="260"/>
      <c r="I203" s="282"/>
      <c r="J203" s="73"/>
      <c r="K203" s="72"/>
      <c r="L203" s="76"/>
      <c r="M203" s="76"/>
      <c r="N203" s="187"/>
      <c r="O203" s="70"/>
      <c r="P203" s="70"/>
      <c r="Q203" s="70"/>
      <c r="R203" s="70"/>
      <c r="S203" s="70"/>
      <c r="T203" s="70"/>
      <c r="U203" s="70"/>
      <c r="V203" s="43"/>
      <c r="W203" s="43"/>
      <c r="X203" s="43"/>
      <c r="Y203" s="43"/>
      <c r="Z203" s="43"/>
      <c r="AA203" s="43"/>
      <c r="AB203" s="43"/>
      <c r="AC203" s="43"/>
      <c r="AD203" s="43"/>
    </row>
    <row r="204" spans="1:30">
      <c r="A204" s="186"/>
      <c r="B204" s="309"/>
      <c r="C204" s="336"/>
      <c r="D204" s="235"/>
      <c r="E204" s="218"/>
      <c r="F204" s="30"/>
      <c r="G204" s="30"/>
      <c r="H204" s="260"/>
      <c r="I204" s="282"/>
      <c r="J204" s="73"/>
      <c r="K204" s="72"/>
      <c r="L204" s="77"/>
      <c r="M204" s="76"/>
      <c r="N204" s="187"/>
      <c r="O204" s="70"/>
      <c r="P204" s="70"/>
      <c r="Q204" s="70"/>
      <c r="R204" s="70"/>
      <c r="S204" s="70"/>
      <c r="T204" s="70"/>
      <c r="U204" s="70"/>
      <c r="V204" s="43"/>
      <c r="W204" s="43"/>
      <c r="X204" s="43"/>
      <c r="Y204" s="43"/>
      <c r="Z204" s="43"/>
      <c r="AA204" s="43"/>
      <c r="AB204" s="43"/>
      <c r="AC204" s="43"/>
      <c r="AD204" s="43"/>
    </row>
    <row r="205" spans="1:30">
      <c r="A205" s="186"/>
      <c r="B205" s="309"/>
      <c r="C205" s="336"/>
      <c r="D205" s="235"/>
      <c r="E205" s="218"/>
      <c r="F205" s="30"/>
      <c r="G205" s="30"/>
      <c r="H205" s="260"/>
      <c r="I205" s="282"/>
      <c r="J205" s="73"/>
      <c r="K205" s="72"/>
      <c r="L205" s="77"/>
      <c r="M205" s="76"/>
      <c r="N205" s="187"/>
      <c r="O205" s="70"/>
      <c r="P205" s="70"/>
      <c r="Q205" s="70"/>
      <c r="R205" s="70"/>
      <c r="S205" s="70"/>
      <c r="T205" s="70"/>
      <c r="U205" s="70"/>
      <c r="V205" s="43"/>
      <c r="W205" s="43"/>
      <c r="X205" s="43"/>
      <c r="Y205" s="43"/>
      <c r="Z205" s="43"/>
      <c r="AA205" s="43"/>
      <c r="AB205" s="43"/>
      <c r="AC205" s="43"/>
      <c r="AD205" s="43"/>
    </row>
    <row r="206" spans="1:30">
      <c r="A206" s="186"/>
      <c r="B206" s="309"/>
      <c r="C206" s="336"/>
      <c r="D206" s="235"/>
      <c r="E206" s="218"/>
      <c r="F206" s="30"/>
      <c r="G206" s="30"/>
      <c r="H206" s="260"/>
      <c r="I206" s="282"/>
      <c r="J206" s="73"/>
      <c r="K206" s="72"/>
      <c r="L206" s="77"/>
      <c r="M206" s="76"/>
      <c r="N206" s="187"/>
      <c r="O206" s="70"/>
      <c r="P206" s="70"/>
      <c r="Q206" s="70"/>
      <c r="R206" s="70"/>
      <c r="S206" s="70"/>
      <c r="T206" s="70"/>
      <c r="U206" s="70"/>
      <c r="V206" s="43"/>
      <c r="W206" s="43"/>
      <c r="X206" s="43"/>
      <c r="Y206" s="43"/>
      <c r="Z206" s="43"/>
      <c r="AA206" s="43"/>
      <c r="AB206" s="43"/>
      <c r="AC206" s="43"/>
      <c r="AD206" s="43"/>
    </row>
    <row r="207" spans="1:30">
      <c r="A207" s="186"/>
      <c r="B207" s="309"/>
      <c r="C207" s="336"/>
      <c r="D207" s="235"/>
      <c r="E207" s="218"/>
      <c r="F207" s="30"/>
      <c r="G207" s="30"/>
      <c r="H207" s="260"/>
      <c r="I207" s="282"/>
      <c r="J207" s="73"/>
      <c r="K207" s="72"/>
      <c r="L207" s="77"/>
      <c r="M207" s="76"/>
      <c r="N207" s="187"/>
      <c r="O207" s="70"/>
      <c r="P207" s="70"/>
      <c r="Q207" s="70"/>
      <c r="R207" s="70"/>
      <c r="S207" s="70"/>
      <c r="T207" s="70"/>
      <c r="U207" s="70"/>
      <c r="V207" s="43"/>
      <c r="W207" s="43"/>
      <c r="X207" s="43"/>
      <c r="Y207" s="43"/>
      <c r="Z207" s="43"/>
      <c r="AA207" s="43"/>
      <c r="AB207" s="43"/>
      <c r="AC207" s="43"/>
      <c r="AD207" s="43"/>
    </row>
    <row r="208" spans="1:30">
      <c r="A208" s="186"/>
      <c r="B208" s="309"/>
      <c r="C208" s="336"/>
      <c r="D208" s="235"/>
      <c r="E208" s="218"/>
      <c r="F208" s="30"/>
      <c r="G208" s="30"/>
      <c r="H208" s="260"/>
      <c r="I208" s="282"/>
      <c r="J208" s="87"/>
      <c r="K208" s="72"/>
      <c r="L208" s="419"/>
      <c r="M208" s="76"/>
      <c r="N208" s="187"/>
      <c r="O208" s="70"/>
      <c r="P208" s="70"/>
      <c r="Q208" s="70"/>
      <c r="R208" s="70"/>
      <c r="S208" s="70"/>
      <c r="T208" s="70"/>
      <c r="U208" s="70"/>
      <c r="V208" s="43"/>
      <c r="W208" s="43"/>
      <c r="X208" s="43"/>
      <c r="Y208" s="43"/>
      <c r="Z208" s="43"/>
      <c r="AA208" s="43"/>
      <c r="AB208" s="43"/>
      <c r="AC208" s="43"/>
      <c r="AD208" s="43"/>
    </row>
    <row r="209" spans="1:30">
      <c r="A209" s="186"/>
      <c r="B209" s="309"/>
      <c r="C209" s="336"/>
      <c r="D209" s="235"/>
      <c r="E209" s="218"/>
      <c r="F209" s="30"/>
      <c r="G209" s="30"/>
      <c r="H209" s="267"/>
      <c r="I209" s="289"/>
      <c r="J209" s="90"/>
      <c r="K209" s="86"/>
      <c r="L209" s="421"/>
      <c r="M209" s="419"/>
      <c r="N209" s="187"/>
      <c r="O209" s="70"/>
      <c r="P209" s="70"/>
      <c r="Q209" s="70"/>
      <c r="R209" s="70"/>
      <c r="S209" s="70"/>
      <c r="T209" s="70"/>
      <c r="U209" s="70"/>
      <c r="V209" s="43"/>
      <c r="W209" s="43"/>
      <c r="X209" s="43"/>
      <c r="Y209" s="43"/>
      <c r="Z209" s="43"/>
      <c r="AA209" s="43"/>
      <c r="AB209" s="43"/>
      <c r="AC209" s="43"/>
      <c r="AD209" s="43"/>
    </row>
    <row r="210" spans="1:30">
      <c r="A210" s="186"/>
      <c r="B210" s="309"/>
      <c r="C210" s="339"/>
      <c r="D210" s="235"/>
      <c r="E210" s="218"/>
      <c r="F210" s="30"/>
      <c r="G210" s="30"/>
      <c r="H210" s="268"/>
      <c r="I210" s="290"/>
      <c r="J210" s="69"/>
      <c r="K210" s="89"/>
      <c r="L210" s="416"/>
      <c r="M210" s="421"/>
      <c r="N210" s="187"/>
      <c r="O210" s="70"/>
      <c r="P210" s="70"/>
      <c r="Q210" s="70"/>
      <c r="R210" s="70"/>
      <c r="S210" s="70"/>
      <c r="T210" s="70"/>
      <c r="U210" s="70"/>
      <c r="V210" s="43"/>
      <c r="W210" s="43"/>
      <c r="X210" s="43"/>
      <c r="Y210" s="43"/>
      <c r="Z210" s="43"/>
      <c r="AA210" s="43"/>
      <c r="AB210" s="43"/>
      <c r="AC210" s="43"/>
      <c r="AD210" s="43"/>
    </row>
    <row r="211" spans="1:30">
      <c r="A211" s="186"/>
      <c r="B211" s="309"/>
      <c r="C211" s="339"/>
      <c r="D211" s="235"/>
      <c r="E211" s="218"/>
      <c r="F211" s="30"/>
      <c r="G211" s="30"/>
      <c r="H211" s="258"/>
      <c r="I211" s="281"/>
      <c r="J211" s="87"/>
      <c r="K211" s="68"/>
      <c r="L211" s="81"/>
      <c r="M211" s="416"/>
      <c r="N211" s="187"/>
      <c r="O211" s="70"/>
      <c r="P211" s="70"/>
      <c r="Q211" s="70"/>
      <c r="R211" s="70"/>
      <c r="S211" s="70"/>
      <c r="T211" s="70"/>
      <c r="U211" s="70"/>
      <c r="V211" s="43"/>
      <c r="W211" s="43"/>
      <c r="X211" s="43"/>
      <c r="Y211" s="43"/>
      <c r="Z211" s="43"/>
      <c r="AA211" s="43"/>
      <c r="AB211" s="43"/>
      <c r="AC211" s="43"/>
      <c r="AD211" s="43"/>
    </row>
    <row r="212" spans="1:30">
      <c r="A212" s="186"/>
      <c r="B212" s="309"/>
      <c r="C212" s="339"/>
      <c r="D212" s="234"/>
      <c r="E212" s="223"/>
      <c r="F212" s="30"/>
      <c r="G212" s="214"/>
      <c r="H212" s="267"/>
      <c r="I212" s="289"/>
      <c r="J212" s="69"/>
      <c r="K212" s="86"/>
      <c r="L212" s="91"/>
      <c r="M212" s="88"/>
      <c r="N212" s="187"/>
      <c r="O212" s="70"/>
      <c r="P212" s="70"/>
      <c r="Q212" s="70"/>
      <c r="R212" s="70"/>
      <c r="S212" s="70"/>
      <c r="T212" s="70"/>
      <c r="U212" s="70"/>
      <c r="V212" s="43"/>
      <c r="W212" s="43"/>
      <c r="X212" s="43"/>
      <c r="Y212" s="43"/>
      <c r="Z212" s="43"/>
      <c r="AA212" s="43"/>
      <c r="AB212" s="43"/>
      <c r="AC212" s="43"/>
      <c r="AD212" s="43"/>
    </row>
    <row r="213" spans="1:30">
      <c r="A213" s="186"/>
      <c r="B213" s="309"/>
      <c r="C213" s="339"/>
      <c r="D213" s="234"/>
      <c r="E213" s="223"/>
      <c r="F213" s="30"/>
      <c r="G213" s="213"/>
      <c r="H213" s="258"/>
      <c r="I213" s="281"/>
      <c r="J213" s="69"/>
      <c r="K213" s="68"/>
      <c r="L213" s="91"/>
      <c r="M213" s="91"/>
      <c r="N213" s="187"/>
      <c r="O213" s="70"/>
      <c r="P213" s="70"/>
      <c r="Q213" s="70"/>
      <c r="R213" s="70"/>
      <c r="S213" s="70"/>
      <c r="T213" s="70"/>
      <c r="U213" s="70"/>
      <c r="V213" s="43"/>
      <c r="W213" s="43"/>
      <c r="X213" s="43"/>
      <c r="Y213" s="43"/>
      <c r="Z213" s="43"/>
      <c r="AA213" s="43"/>
      <c r="AB213" s="43"/>
      <c r="AC213" s="43"/>
      <c r="AD213" s="43"/>
    </row>
    <row r="214" spans="1:30">
      <c r="A214" s="186"/>
      <c r="B214" s="309"/>
      <c r="C214" s="339"/>
      <c r="D214" s="234"/>
      <c r="E214" s="223"/>
      <c r="F214" s="30"/>
      <c r="G214" s="213"/>
      <c r="H214" s="258"/>
      <c r="I214" s="281"/>
      <c r="J214" s="73"/>
      <c r="K214" s="68"/>
      <c r="L214" s="76"/>
      <c r="M214" s="91"/>
      <c r="N214" s="187"/>
      <c r="O214" s="70"/>
      <c r="P214" s="70"/>
      <c r="Q214" s="70"/>
      <c r="R214" s="70"/>
      <c r="S214" s="70"/>
      <c r="T214" s="70"/>
      <c r="U214" s="70"/>
      <c r="V214" s="43"/>
      <c r="W214" s="43"/>
      <c r="X214" s="43"/>
      <c r="Y214" s="43"/>
      <c r="Z214" s="43"/>
      <c r="AA214" s="43"/>
      <c r="AB214" s="43"/>
      <c r="AC214" s="43"/>
      <c r="AD214" s="43"/>
    </row>
    <row r="215" spans="1:30">
      <c r="A215" s="186"/>
      <c r="B215" s="309"/>
      <c r="C215" s="339"/>
      <c r="D215" s="234"/>
      <c r="E215" s="223"/>
      <c r="F215" s="30"/>
      <c r="G215" s="30"/>
      <c r="H215" s="260"/>
      <c r="I215" s="282"/>
      <c r="J215" s="73"/>
      <c r="K215" s="72"/>
      <c r="L215" s="76"/>
      <c r="M215" s="76"/>
      <c r="N215" s="187"/>
      <c r="O215" s="70"/>
      <c r="P215" s="70"/>
      <c r="Q215" s="70"/>
      <c r="R215" s="70"/>
      <c r="S215" s="70"/>
      <c r="T215" s="70"/>
      <c r="U215" s="70"/>
      <c r="V215" s="43"/>
      <c r="W215" s="43"/>
      <c r="X215" s="43"/>
      <c r="Y215" s="43"/>
      <c r="Z215" s="43"/>
      <c r="AA215" s="43"/>
      <c r="AB215" s="43"/>
      <c r="AC215" s="43"/>
      <c r="AD215" s="43"/>
    </row>
    <row r="216" spans="1:30">
      <c r="A216" s="186"/>
      <c r="B216" s="309"/>
      <c r="C216" s="417"/>
      <c r="D216" s="234"/>
      <c r="E216" s="223"/>
      <c r="F216" s="30"/>
      <c r="G216" s="30"/>
      <c r="H216" s="260"/>
      <c r="I216" s="282"/>
      <c r="J216" s="73"/>
      <c r="K216" s="72"/>
      <c r="L216" s="76"/>
      <c r="M216" s="76"/>
      <c r="N216" s="187"/>
      <c r="O216" s="70"/>
      <c r="P216" s="70"/>
      <c r="Q216" s="70"/>
      <c r="R216" s="70"/>
      <c r="S216" s="70"/>
      <c r="T216" s="70"/>
      <c r="U216" s="70"/>
      <c r="V216" s="43"/>
      <c r="W216" s="43"/>
      <c r="X216" s="43"/>
      <c r="Y216" s="43"/>
      <c r="Z216" s="43"/>
      <c r="AA216" s="43"/>
      <c r="AB216" s="43"/>
      <c r="AC216" s="43"/>
      <c r="AD216" s="43"/>
    </row>
    <row r="217" spans="1:30">
      <c r="A217" s="186"/>
      <c r="B217" s="309"/>
      <c r="C217" s="420"/>
      <c r="D217" s="234"/>
      <c r="E217" s="223"/>
      <c r="F217" s="30"/>
      <c r="G217" s="30"/>
      <c r="H217" s="260"/>
      <c r="I217" s="282"/>
      <c r="J217" s="73"/>
      <c r="K217" s="72"/>
      <c r="L217" s="76"/>
      <c r="M217" s="76"/>
      <c r="N217" s="187"/>
      <c r="O217" s="70"/>
      <c r="P217" s="70"/>
      <c r="Q217" s="70"/>
      <c r="R217" s="70"/>
      <c r="S217" s="70"/>
      <c r="T217" s="70"/>
      <c r="U217" s="70"/>
      <c r="V217" s="43"/>
      <c r="W217" s="43"/>
      <c r="X217" s="43"/>
      <c r="Y217" s="43"/>
      <c r="Z217" s="43"/>
      <c r="AA217" s="43"/>
      <c r="AB217" s="43"/>
      <c r="AC217" s="43"/>
      <c r="AD217" s="43"/>
    </row>
    <row r="218" spans="1:30">
      <c r="A218" s="186"/>
      <c r="B218" s="309"/>
      <c r="C218" s="420"/>
      <c r="D218" s="235"/>
      <c r="E218" s="220"/>
      <c r="F218" s="422"/>
      <c r="G218" s="30"/>
      <c r="H218" s="260"/>
      <c r="I218" s="282"/>
      <c r="J218" s="73"/>
      <c r="K218" s="72"/>
      <c r="L218" s="76"/>
      <c r="M218" s="76"/>
      <c r="N218" s="187"/>
      <c r="O218" s="70"/>
      <c r="P218" s="70"/>
      <c r="Q218" s="70"/>
      <c r="R218" s="70"/>
      <c r="S218" s="70"/>
      <c r="T218" s="70"/>
      <c r="U218" s="70"/>
      <c r="V218" s="43"/>
      <c r="W218" s="43"/>
      <c r="X218" s="43"/>
      <c r="Y218" s="43"/>
      <c r="Z218" s="43"/>
      <c r="AA218" s="43"/>
      <c r="AB218" s="43"/>
      <c r="AC218" s="43"/>
      <c r="AD218" s="43"/>
    </row>
    <row r="219" spans="1:30">
      <c r="A219" s="186"/>
      <c r="B219" s="309"/>
      <c r="C219" s="420"/>
      <c r="D219" s="235"/>
      <c r="E219" s="223"/>
      <c r="F219" s="423"/>
      <c r="G219" s="30"/>
      <c r="H219" s="260"/>
      <c r="I219" s="282"/>
      <c r="J219" s="73"/>
      <c r="K219" s="72"/>
      <c r="L219" s="76"/>
      <c r="M219" s="76"/>
      <c r="N219" s="187"/>
      <c r="O219" s="70"/>
      <c r="P219" s="70"/>
      <c r="Q219" s="70"/>
      <c r="R219" s="70"/>
      <c r="S219" s="70"/>
      <c r="T219" s="70"/>
      <c r="U219" s="70"/>
      <c r="V219" s="43"/>
      <c r="W219" s="43"/>
      <c r="X219" s="43"/>
      <c r="Y219" s="43"/>
      <c r="Z219" s="43"/>
      <c r="AA219" s="43"/>
      <c r="AB219" s="43"/>
      <c r="AC219" s="43"/>
      <c r="AD219" s="43"/>
    </row>
    <row r="220" spans="1:30">
      <c r="A220" s="186"/>
      <c r="B220" s="309"/>
      <c r="C220" s="420"/>
      <c r="D220" s="235"/>
      <c r="E220" s="221"/>
      <c r="F220" s="424"/>
      <c r="G220" s="30"/>
      <c r="H220" s="260"/>
      <c r="I220" s="282"/>
      <c r="J220" s="73"/>
      <c r="K220" s="72"/>
      <c r="L220" s="76"/>
      <c r="M220" s="76"/>
      <c r="N220" s="187"/>
      <c r="O220" s="70"/>
      <c r="P220" s="70"/>
      <c r="Q220" s="70"/>
      <c r="R220" s="70"/>
      <c r="S220" s="70"/>
      <c r="T220" s="70"/>
      <c r="U220" s="70"/>
      <c r="V220" s="43"/>
      <c r="W220" s="43"/>
      <c r="X220" s="43"/>
      <c r="Y220" s="43"/>
      <c r="Z220" s="43"/>
      <c r="AA220" s="43"/>
      <c r="AB220" s="43"/>
      <c r="AC220" s="43"/>
      <c r="AD220" s="43"/>
    </row>
    <row r="221" spans="1:30">
      <c r="A221" s="186"/>
      <c r="B221" s="309"/>
      <c r="C221" s="420"/>
      <c r="D221" s="235"/>
      <c r="E221" s="218"/>
      <c r="F221" s="30"/>
      <c r="G221" s="30"/>
      <c r="H221" s="260"/>
      <c r="I221" s="282"/>
      <c r="J221" s="73"/>
      <c r="K221" s="72"/>
      <c r="L221" s="76"/>
      <c r="M221" s="76"/>
      <c r="N221" s="187"/>
      <c r="O221" s="70"/>
      <c r="P221" s="70"/>
      <c r="Q221" s="70"/>
      <c r="R221" s="70"/>
      <c r="S221" s="70"/>
      <c r="T221" s="70"/>
      <c r="U221" s="70"/>
      <c r="V221" s="43"/>
      <c r="W221" s="43"/>
      <c r="X221" s="43"/>
      <c r="Y221" s="43"/>
      <c r="Z221" s="43"/>
      <c r="AA221" s="43"/>
      <c r="AB221" s="43"/>
      <c r="AC221" s="43"/>
      <c r="AD221" s="43"/>
    </row>
    <row r="222" spans="1:30">
      <c r="A222" s="186"/>
      <c r="B222" s="309"/>
      <c r="C222" s="418"/>
      <c r="D222" s="235"/>
      <c r="E222" s="218"/>
      <c r="F222" s="30"/>
      <c r="G222" s="30"/>
      <c r="H222" s="260"/>
      <c r="I222" s="282"/>
      <c r="J222" s="73"/>
      <c r="K222" s="72"/>
      <c r="L222" s="77"/>
      <c r="M222" s="76"/>
      <c r="N222" s="187"/>
      <c r="O222" s="70"/>
      <c r="P222" s="70"/>
      <c r="Q222" s="70"/>
      <c r="R222" s="70"/>
      <c r="S222" s="70"/>
      <c r="T222" s="70"/>
      <c r="U222" s="70"/>
      <c r="V222" s="43"/>
      <c r="W222" s="43"/>
      <c r="X222" s="43"/>
      <c r="Y222" s="43"/>
      <c r="Z222" s="43"/>
      <c r="AA222" s="43"/>
      <c r="AB222" s="43"/>
      <c r="AC222" s="43"/>
      <c r="AD222" s="43"/>
    </row>
    <row r="223" spans="1:30">
      <c r="A223" s="186"/>
      <c r="B223" s="309"/>
      <c r="C223" s="417"/>
      <c r="D223" s="235"/>
      <c r="E223" s="218"/>
      <c r="F223" s="30"/>
      <c r="G223" s="30"/>
      <c r="H223" s="260"/>
      <c r="I223" s="282"/>
      <c r="J223" s="73"/>
      <c r="K223" s="72"/>
      <c r="L223" s="76"/>
      <c r="M223" s="76"/>
      <c r="N223" s="187"/>
      <c r="O223" s="70"/>
      <c r="P223" s="70"/>
      <c r="Q223" s="70"/>
      <c r="R223" s="70"/>
      <c r="S223" s="70"/>
      <c r="T223" s="70"/>
      <c r="U223" s="70"/>
      <c r="V223" s="43"/>
      <c r="W223" s="43"/>
      <c r="X223" s="43"/>
      <c r="Y223" s="43"/>
      <c r="Z223" s="43"/>
      <c r="AA223" s="43"/>
      <c r="AB223" s="43"/>
      <c r="AC223" s="43"/>
      <c r="AD223" s="43"/>
    </row>
    <row r="224" spans="1:30">
      <c r="A224" s="186"/>
      <c r="B224" s="309"/>
      <c r="C224" s="418"/>
      <c r="D224" s="235"/>
      <c r="E224" s="218"/>
      <c r="F224" s="30"/>
      <c r="G224" s="30"/>
      <c r="H224" s="260"/>
      <c r="I224" s="282"/>
      <c r="J224" s="73"/>
      <c r="K224" s="72"/>
      <c r="L224" s="77"/>
      <c r="M224" s="76"/>
      <c r="N224" s="187"/>
      <c r="O224" s="70"/>
      <c r="P224" s="70"/>
      <c r="Q224" s="70"/>
      <c r="R224" s="70"/>
      <c r="S224" s="70"/>
      <c r="T224" s="70"/>
      <c r="U224" s="70"/>
      <c r="V224" s="43"/>
      <c r="W224" s="43"/>
      <c r="X224" s="43"/>
      <c r="Y224" s="43"/>
      <c r="Z224" s="43"/>
      <c r="AA224" s="43"/>
      <c r="AB224" s="43"/>
      <c r="AC224" s="43"/>
      <c r="AD224" s="43"/>
    </row>
    <row r="225" spans="1:30">
      <c r="A225" s="186"/>
      <c r="B225" s="309"/>
      <c r="C225" s="336"/>
      <c r="D225" s="237"/>
      <c r="E225" s="220"/>
      <c r="F225" s="30"/>
      <c r="G225" s="30"/>
      <c r="H225" s="260"/>
      <c r="I225" s="282"/>
      <c r="J225" s="73"/>
      <c r="K225" s="72"/>
      <c r="L225" s="77"/>
      <c r="M225" s="76"/>
      <c r="N225" s="187"/>
      <c r="O225" s="70"/>
      <c r="P225" s="70"/>
      <c r="Q225" s="70"/>
      <c r="R225" s="70"/>
      <c r="S225" s="70"/>
      <c r="T225" s="70"/>
      <c r="U225" s="70"/>
      <c r="V225" s="43"/>
      <c r="W225" s="43"/>
      <c r="X225" s="43"/>
      <c r="Y225" s="43"/>
      <c r="Z225" s="43"/>
      <c r="AA225" s="43"/>
      <c r="AB225" s="43"/>
      <c r="AC225" s="43"/>
      <c r="AD225" s="43"/>
    </row>
    <row r="226" spans="1:30">
      <c r="A226" s="186"/>
      <c r="B226" s="309"/>
      <c r="C226" s="417"/>
      <c r="D226" s="236"/>
      <c r="E226" s="221"/>
      <c r="F226" s="30"/>
      <c r="G226" s="30"/>
      <c r="H226" s="260"/>
      <c r="I226" s="282"/>
      <c r="J226" s="69"/>
      <c r="K226" s="72"/>
      <c r="L226" s="91"/>
      <c r="M226" s="76"/>
      <c r="N226" s="187"/>
      <c r="O226" s="70"/>
      <c r="P226" s="70"/>
      <c r="Q226" s="70"/>
      <c r="R226" s="70"/>
      <c r="S226" s="70"/>
      <c r="T226" s="70"/>
      <c r="U226" s="70"/>
      <c r="V226" s="43"/>
      <c r="W226" s="43"/>
      <c r="X226" s="43"/>
      <c r="Y226" s="43"/>
      <c r="Z226" s="43"/>
      <c r="AA226" s="43"/>
      <c r="AB226" s="43"/>
      <c r="AC226" s="43"/>
      <c r="AD226" s="43"/>
    </row>
    <row r="227" spans="1:30">
      <c r="A227" s="186"/>
      <c r="B227" s="309"/>
      <c r="C227" s="420"/>
      <c r="D227" s="235"/>
      <c r="E227" s="218"/>
      <c r="F227" s="30"/>
      <c r="G227" s="213"/>
      <c r="H227" s="258"/>
      <c r="I227" s="281"/>
      <c r="J227" s="73"/>
      <c r="K227" s="68"/>
      <c r="L227" s="76"/>
      <c r="M227" s="91"/>
      <c r="N227" s="94"/>
      <c r="O227" s="70"/>
      <c r="P227" s="70"/>
      <c r="Q227" s="70"/>
      <c r="R227" s="70"/>
      <c r="S227" s="70"/>
      <c r="T227" s="70"/>
      <c r="U227" s="70"/>
      <c r="V227" s="43"/>
      <c r="W227" s="43"/>
      <c r="X227" s="43"/>
      <c r="Y227" s="43"/>
      <c r="Z227" s="43"/>
      <c r="AA227" s="43"/>
      <c r="AB227" s="43"/>
      <c r="AC227" s="43"/>
      <c r="AD227" s="43"/>
    </row>
    <row r="228" spans="1:30">
      <c r="A228" s="186"/>
      <c r="B228" s="309"/>
      <c r="C228" s="420"/>
      <c r="D228" s="237"/>
      <c r="E228" s="220"/>
      <c r="F228" s="30"/>
      <c r="G228" s="30"/>
      <c r="H228" s="260"/>
      <c r="I228" s="282"/>
      <c r="J228" s="73"/>
      <c r="K228" s="72"/>
      <c r="L228" s="76"/>
      <c r="M228" s="76"/>
      <c r="N228" s="94"/>
      <c r="O228" s="70"/>
      <c r="P228" s="70"/>
      <c r="Q228" s="70"/>
      <c r="R228" s="70"/>
      <c r="S228" s="70"/>
      <c r="T228" s="70"/>
      <c r="U228" s="70"/>
      <c r="V228" s="43"/>
      <c r="W228" s="43"/>
      <c r="X228" s="43"/>
      <c r="Y228" s="43"/>
      <c r="Z228" s="43"/>
      <c r="AA228" s="43"/>
      <c r="AB228" s="43"/>
      <c r="AC228" s="43"/>
      <c r="AD228" s="43"/>
    </row>
    <row r="229" spans="1:30">
      <c r="A229" s="186"/>
      <c r="B229" s="309"/>
      <c r="C229" s="420"/>
      <c r="D229" s="234"/>
      <c r="E229" s="223"/>
      <c r="F229" s="30"/>
      <c r="G229" s="30"/>
      <c r="H229" s="260"/>
      <c r="I229" s="282"/>
      <c r="J229" s="73"/>
      <c r="K229" s="72"/>
      <c r="L229" s="76"/>
      <c r="M229" s="76"/>
      <c r="N229" s="94"/>
      <c r="O229" s="70"/>
      <c r="P229" s="70"/>
      <c r="Q229" s="70"/>
      <c r="R229" s="70"/>
      <c r="S229" s="70"/>
      <c r="T229" s="70"/>
      <c r="U229" s="70"/>
      <c r="V229" s="43"/>
      <c r="W229" s="43"/>
      <c r="X229" s="43"/>
      <c r="Y229" s="43"/>
      <c r="Z229" s="43"/>
      <c r="AA229" s="43"/>
      <c r="AB229" s="43"/>
      <c r="AC229" s="43"/>
      <c r="AD229" s="43"/>
    </row>
    <row r="230" spans="1:30">
      <c r="A230" s="186"/>
      <c r="B230" s="309"/>
      <c r="C230" s="418"/>
      <c r="D230" s="234"/>
      <c r="E230" s="223"/>
      <c r="F230" s="30"/>
      <c r="G230" s="30"/>
      <c r="H230" s="260"/>
      <c r="I230" s="282"/>
      <c r="J230" s="73"/>
      <c r="K230" s="72"/>
      <c r="L230" s="77"/>
      <c r="M230" s="76"/>
      <c r="N230" s="94"/>
      <c r="O230" s="70"/>
      <c r="P230" s="70"/>
      <c r="Q230" s="70"/>
      <c r="R230" s="70"/>
      <c r="S230" s="70"/>
      <c r="T230" s="70"/>
      <c r="U230" s="70"/>
      <c r="V230" s="43"/>
      <c r="W230" s="43"/>
      <c r="X230" s="43"/>
      <c r="Y230" s="43"/>
      <c r="Z230" s="43"/>
      <c r="AA230" s="43"/>
      <c r="AB230" s="43"/>
      <c r="AC230" s="43"/>
      <c r="AD230" s="43"/>
    </row>
    <row r="231" spans="1:30">
      <c r="A231" s="186"/>
      <c r="B231" s="309"/>
      <c r="C231" s="335"/>
      <c r="D231" s="234"/>
      <c r="E231" s="223"/>
      <c r="F231" s="30"/>
      <c r="G231" s="30"/>
      <c r="H231" s="260"/>
      <c r="I231" s="282"/>
      <c r="J231" s="73"/>
      <c r="K231" s="72"/>
      <c r="L231" s="76"/>
      <c r="M231" s="76"/>
      <c r="N231" s="94"/>
      <c r="O231" s="70"/>
      <c r="P231" s="70"/>
      <c r="Q231" s="70"/>
      <c r="R231" s="70"/>
      <c r="S231" s="70"/>
      <c r="T231" s="70"/>
      <c r="U231" s="70"/>
      <c r="V231" s="43"/>
      <c r="W231" s="43"/>
      <c r="X231" s="43"/>
      <c r="Y231" s="43"/>
      <c r="Z231" s="43"/>
      <c r="AA231" s="43"/>
      <c r="AB231" s="43"/>
      <c r="AC231" s="43"/>
      <c r="AD231" s="43"/>
    </row>
    <row r="232" spans="1:30">
      <c r="A232" s="186"/>
      <c r="B232" s="309"/>
      <c r="C232" s="336"/>
      <c r="D232" s="234"/>
      <c r="E232" s="223"/>
      <c r="F232" s="214"/>
      <c r="G232" s="30"/>
      <c r="H232" s="260"/>
      <c r="I232" s="282"/>
      <c r="J232" s="73"/>
      <c r="K232" s="72"/>
      <c r="L232" s="76"/>
      <c r="M232" s="76"/>
      <c r="N232" s="94"/>
      <c r="O232" s="70"/>
      <c r="P232" s="70"/>
      <c r="Q232" s="70"/>
      <c r="R232" s="70"/>
      <c r="S232" s="70"/>
      <c r="T232" s="70"/>
      <c r="U232" s="70"/>
      <c r="V232" s="43"/>
      <c r="W232" s="43"/>
      <c r="X232" s="43"/>
      <c r="Y232" s="43"/>
      <c r="Z232" s="43"/>
      <c r="AA232" s="43"/>
      <c r="AB232" s="43"/>
      <c r="AC232" s="43"/>
      <c r="AD232" s="43"/>
    </row>
    <row r="233" spans="1:30">
      <c r="A233" s="186"/>
      <c r="B233" s="309"/>
      <c r="C233" s="336"/>
      <c r="D233" s="236"/>
      <c r="E233" s="221"/>
      <c r="F233" s="30"/>
      <c r="G233" s="30"/>
      <c r="H233" s="260"/>
      <c r="I233" s="282"/>
      <c r="J233" s="73"/>
      <c r="K233" s="72"/>
      <c r="L233" s="76"/>
      <c r="M233" s="76"/>
      <c r="N233" s="94"/>
      <c r="O233" s="70"/>
      <c r="P233" s="70"/>
      <c r="Q233" s="70"/>
      <c r="R233" s="70"/>
      <c r="S233" s="70"/>
      <c r="T233" s="70"/>
      <c r="U233" s="70"/>
      <c r="V233" s="43"/>
      <c r="W233" s="43"/>
      <c r="X233" s="43"/>
      <c r="Y233" s="43"/>
      <c r="Z233" s="43"/>
      <c r="AA233" s="43"/>
      <c r="AB233" s="43"/>
      <c r="AC233" s="43"/>
      <c r="AD233" s="43"/>
    </row>
    <row r="234" spans="1:30">
      <c r="A234" s="186"/>
      <c r="B234" s="309"/>
      <c r="C234" s="336"/>
      <c r="D234" s="235"/>
      <c r="E234" s="218"/>
      <c r="F234" s="30"/>
      <c r="G234" s="30"/>
      <c r="H234" s="260"/>
      <c r="I234" s="282"/>
      <c r="J234" s="73"/>
      <c r="K234" s="72"/>
      <c r="L234" s="76"/>
      <c r="M234" s="76"/>
      <c r="N234" s="94"/>
      <c r="O234" s="70"/>
      <c r="P234" s="70"/>
      <c r="Q234" s="70"/>
      <c r="R234" s="70"/>
      <c r="S234" s="70"/>
      <c r="T234" s="70"/>
      <c r="U234" s="70"/>
      <c r="V234" s="43"/>
      <c r="W234" s="43"/>
      <c r="X234" s="43"/>
      <c r="Y234" s="43"/>
      <c r="Z234" s="43"/>
      <c r="AA234" s="43"/>
      <c r="AB234" s="43"/>
      <c r="AC234" s="43"/>
      <c r="AD234" s="43"/>
    </row>
    <row r="235" spans="1:30">
      <c r="A235" s="186"/>
      <c r="B235" s="309"/>
      <c r="C235" s="336"/>
      <c r="D235" s="235"/>
      <c r="E235" s="218"/>
      <c r="F235" s="30"/>
      <c r="G235" s="30"/>
      <c r="H235" s="260"/>
      <c r="I235" s="282"/>
      <c r="J235" s="73"/>
      <c r="K235" s="72"/>
      <c r="L235" s="77"/>
      <c r="M235" s="76"/>
      <c r="N235" s="94"/>
      <c r="O235" s="70"/>
      <c r="P235" s="70"/>
      <c r="Q235" s="70"/>
      <c r="R235" s="70"/>
      <c r="S235" s="70"/>
      <c r="T235" s="70"/>
      <c r="U235" s="70"/>
      <c r="V235" s="43"/>
      <c r="W235" s="43"/>
      <c r="X235" s="43"/>
      <c r="Y235" s="43"/>
      <c r="Z235" s="43"/>
      <c r="AA235" s="43"/>
      <c r="AB235" s="43"/>
      <c r="AC235" s="43"/>
      <c r="AD235" s="43"/>
    </row>
    <row r="236" spans="1:30">
      <c r="A236" s="186"/>
      <c r="B236" s="309"/>
      <c r="C236" s="336"/>
      <c r="D236" s="235"/>
      <c r="E236" s="218"/>
      <c r="F236" s="30"/>
      <c r="G236" s="30"/>
      <c r="H236" s="260"/>
      <c r="I236" s="282"/>
      <c r="J236" s="73"/>
      <c r="K236" s="72"/>
      <c r="L236" s="76"/>
      <c r="M236" s="76"/>
      <c r="N236" s="94"/>
      <c r="O236" s="70"/>
      <c r="P236" s="70"/>
      <c r="Q236" s="70"/>
      <c r="R236" s="70"/>
      <c r="S236" s="70"/>
      <c r="T236" s="70"/>
      <c r="U236" s="70"/>
      <c r="V236" s="43"/>
      <c r="W236" s="43"/>
      <c r="X236" s="43"/>
      <c r="Y236" s="43"/>
      <c r="Z236" s="43"/>
      <c r="AA236" s="43"/>
      <c r="AB236" s="43"/>
      <c r="AC236" s="43"/>
      <c r="AD236" s="43"/>
    </row>
    <row r="237" spans="1:30">
      <c r="A237" s="186"/>
      <c r="B237" s="309"/>
      <c r="C237" s="336"/>
      <c r="D237" s="235"/>
      <c r="E237" s="218"/>
      <c r="F237" s="30"/>
      <c r="G237" s="30"/>
      <c r="H237" s="260"/>
      <c r="I237" s="282"/>
      <c r="J237" s="73"/>
      <c r="K237" s="72"/>
      <c r="L237" s="77"/>
      <c r="M237" s="76"/>
      <c r="N237" s="94"/>
      <c r="O237" s="70"/>
      <c r="P237" s="70"/>
      <c r="Q237" s="70"/>
      <c r="R237" s="70"/>
      <c r="S237" s="70"/>
      <c r="T237" s="70"/>
      <c r="U237" s="70"/>
      <c r="V237" s="43"/>
      <c r="W237" s="43"/>
      <c r="X237" s="43"/>
      <c r="Y237" s="43"/>
      <c r="Z237" s="43"/>
      <c r="AA237" s="43"/>
      <c r="AB237" s="43"/>
      <c r="AC237" s="43"/>
      <c r="AD237" s="43"/>
    </row>
    <row r="238" spans="1:30">
      <c r="A238" s="186"/>
      <c r="B238" s="309"/>
      <c r="C238" s="336"/>
      <c r="D238" s="235"/>
      <c r="E238" s="218"/>
      <c r="F238" s="30"/>
      <c r="G238" s="30"/>
      <c r="H238" s="260"/>
      <c r="I238" s="282"/>
      <c r="J238" s="73"/>
      <c r="K238" s="72"/>
      <c r="L238" s="77"/>
      <c r="M238" s="76"/>
      <c r="N238" s="94"/>
      <c r="O238" s="70"/>
      <c r="P238" s="70"/>
      <c r="Q238" s="70"/>
      <c r="R238" s="70"/>
      <c r="S238" s="70"/>
      <c r="T238" s="70"/>
      <c r="U238" s="70"/>
      <c r="V238" s="43"/>
      <c r="W238" s="43"/>
      <c r="X238" s="43"/>
      <c r="Y238" s="43"/>
      <c r="Z238" s="43"/>
      <c r="AA238" s="43"/>
      <c r="AB238" s="43"/>
      <c r="AC238" s="43"/>
      <c r="AD238" s="43"/>
    </row>
    <row r="239" spans="1:30">
      <c r="A239" s="186"/>
      <c r="B239" s="309"/>
      <c r="C239" s="336"/>
      <c r="D239" s="235"/>
      <c r="E239" s="218"/>
      <c r="F239" s="30"/>
      <c r="G239" s="30"/>
      <c r="H239" s="260"/>
      <c r="I239" s="282"/>
      <c r="J239" s="73"/>
      <c r="K239" s="72"/>
      <c r="L239" s="77"/>
      <c r="M239" s="76"/>
      <c r="N239" s="94"/>
      <c r="O239" s="70"/>
      <c r="P239" s="70"/>
      <c r="Q239" s="70"/>
      <c r="R239" s="70"/>
      <c r="S239" s="70"/>
      <c r="T239" s="70"/>
      <c r="U239" s="70"/>
      <c r="V239" s="43"/>
      <c r="W239" s="43"/>
      <c r="X239" s="43"/>
      <c r="Y239" s="43"/>
      <c r="Z239" s="43"/>
      <c r="AA239" s="43"/>
      <c r="AB239" s="43"/>
      <c r="AC239" s="43"/>
      <c r="AD239" s="43"/>
    </row>
    <row r="240" spans="1:30">
      <c r="A240" s="186"/>
      <c r="B240" s="309"/>
      <c r="C240" s="336"/>
      <c r="D240" s="235"/>
      <c r="E240" s="218"/>
      <c r="F240" s="30"/>
      <c r="G240" s="30"/>
      <c r="H240" s="260"/>
      <c r="I240" s="282"/>
      <c r="J240" s="90"/>
      <c r="K240" s="72"/>
      <c r="L240" s="92"/>
      <c r="M240" s="76"/>
      <c r="N240" s="94"/>
      <c r="O240" s="70"/>
      <c r="P240" s="70"/>
      <c r="Q240" s="70"/>
      <c r="R240" s="70"/>
      <c r="S240" s="70"/>
      <c r="T240" s="70"/>
      <c r="U240" s="70"/>
      <c r="V240" s="43"/>
      <c r="W240" s="43"/>
      <c r="X240" s="43"/>
      <c r="Y240" s="43"/>
      <c r="Z240" s="43"/>
      <c r="AA240" s="43"/>
      <c r="AB240" s="43"/>
      <c r="AC240" s="43"/>
      <c r="AD240" s="43"/>
    </row>
    <row r="241" spans="1:30">
      <c r="A241" s="186"/>
      <c r="B241" s="309"/>
      <c r="C241" s="336"/>
      <c r="D241" s="235"/>
      <c r="E241" s="218"/>
      <c r="F241" s="30"/>
      <c r="G241" s="230"/>
      <c r="H241" s="268"/>
      <c r="I241" s="290"/>
      <c r="J241" s="69"/>
      <c r="K241" s="89"/>
      <c r="L241" s="91"/>
      <c r="M241" s="92"/>
      <c r="N241" s="94"/>
      <c r="O241" s="70"/>
      <c r="P241" s="70"/>
      <c r="Q241" s="70"/>
      <c r="R241" s="70"/>
      <c r="S241" s="70"/>
      <c r="T241" s="70"/>
      <c r="U241" s="70"/>
      <c r="V241" s="43"/>
      <c r="W241" s="43"/>
      <c r="X241" s="43"/>
      <c r="Y241" s="43"/>
      <c r="Z241" s="43"/>
      <c r="AA241" s="43"/>
      <c r="AB241" s="43"/>
      <c r="AC241" s="43"/>
      <c r="AD241" s="43"/>
    </row>
    <row r="242" spans="1:30">
      <c r="A242" s="186"/>
      <c r="B242" s="309"/>
      <c r="C242" s="336"/>
      <c r="D242" s="235"/>
      <c r="E242" s="218"/>
      <c r="F242" s="30"/>
      <c r="G242" s="213"/>
      <c r="H242" s="258"/>
      <c r="I242" s="281"/>
      <c r="J242" s="73"/>
      <c r="K242" s="68"/>
      <c r="L242" s="77"/>
      <c r="M242" s="91"/>
      <c r="N242" s="94"/>
      <c r="O242" s="70"/>
      <c r="P242" s="70"/>
      <c r="Q242" s="70"/>
      <c r="R242" s="70"/>
      <c r="S242" s="70"/>
      <c r="T242" s="70"/>
      <c r="U242" s="70"/>
      <c r="V242" s="43"/>
      <c r="W242" s="43"/>
      <c r="X242" s="43"/>
      <c r="Y242" s="43"/>
      <c r="Z242" s="43"/>
      <c r="AA242" s="43"/>
      <c r="AB242" s="43"/>
      <c r="AC242" s="43"/>
      <c r="AD242" s="43"/>
    </row>
    <row r="243" spans="1:30">
      <c r="A243" s="186"/>
      <c r="B243" s="309"/>
      <c r="C243" s="336"/>
      <c r="D243" s="235"/>
      <c r="E243" s="218"/>
      <c r="F243" s="30"/>
      <c r="G243" s="30"/>
      <c r="H243" s="260"/>
      <c r="I243" s="282"/>
      <c r="J243" s="73"/>
      <c r="K243" s="72"/>
      <c r="L243" s="415"/>
      <c r="M243" s="76"/>
      <c r="N243" s="94"/>
      <c r="O243" s="70"/>
      <c r="P243" s="70"/>
      <c r="Q243" s="70"/>
      <c r="R243" s="70"/>
      <c r="S243" s="70"/>
      <c r="T243" s="70"/>
      <c r="U243" s="70"/>
      <c r="V243" s="43"/>
      <c r="W243" s="43"/>
      <c r="X243" s="43"/>
      <c r="Y243" s="43"/>
      <c r="Z243" s="43"/>
      <c r="AA243" s="43"/>
      <c r="AB243" s="43"/>
      <c r="AC243" s="43"/>
      <c r="AD243" s="43"/>
    </row>
    <row r="244" spans="1:30">
      <c r="A244" s="186"/>
      <c r="B244" s="309"/>
      <c r="C244" s="336"/>
      <c r="D244" s="235"/>
      <c r="E244" s="218"/>
      <c r="F244" s="30"/>
      <c r="G244" s="30"/>
      <c r="H244" s="260"/>
      <c r="I244" s="282"/>
      <c r="J244" s="73"/>
      <c r="K244" s="72"/>
      <c r="L244" s="416"/>
      <c r="M244" s="76"/>
      <c r="N244" s="94"/>
      <c r="O244" s="70"/>
      <c r="P244" s="70"/>
      <c r="Q244" s="70"/>
      <c r="R244" s="70"/>
      <c r="S244" s="70"/>
      <c r="T244" s="70"/>
      <c r="U244" s="70"/>
      <c r="V244" s="43"/>
      <c r="W244" s="43"/>
      <c r="X244" s="43"/>
      <c r="Y244" s="43"/>
      <c r="Z244" s="43"/>
      <c r="AA244" s="43"/>
      <c r="AB244" s="43"/>
      <c r="AC244" s="43"/>
      <c r="AD244" s="43"/>
    </row>
    <row r="245" spans="1:30">
      <c r="A245" s="186"/>
      <c r="B245" s="309"/>
      <c r="C245" s="336"/>
      <c r="D245" s="235"/>
      <c r="E245" s="218"/>
      <c r="F245" s="30"/>
      <c r="G245" s="30"/>
      <c r="H245" s="260"/>
      <c r="I245" s="282"/>
      <c r="J245" s="73"/>
      <c r="K245" s="72"/>
      <c r="L245" s="77"/>
      <c r="M245" s="76"/>
      <c r="N245" s="94"/>
      <c r="O245" s="70"/>
      <c r="P245" s="70"/>
      <c r="Q245" s="70"/>
      <c r="R245" s="70"/>
      <c r="S245" s="70"/>
      <c r="T245" s="70"/>
      <c r="U245" s="70"/>
      <c r="V245" s="43"/>
      <c r="W245" s="43"/>
      <c r="X245" s="43"/>
      <c r="Y245" s="43"/>
      <c r="Z245" s="43"/>
      <c r="AA245" s="43"/>
      <c r="AB245" s="43"/>
      <c r="AC245" s="43"/>
      <c r="AD245" s="43"/>
    </row>
    <row r="246" spans="1:30">
      <c r="A246" s="186"/>
      <c r="B246" s="309"/>
      <c r="C246" s="417"/>
      <c r="D246" s="235"/>
      <c r="E246" s="218"/>
      <c r="F246" s="30"/>
      <c r="G246" s="30"/>
      <c r="H246" s="260"/>
      <c r="I246" s="282"/>
      <c r="J246" s="69"/>
      <c r="K246" s="72"/>
      <c r="L246" s="91"/>
      <c r="M246" s="76"/>
      <c r="N246" s="94"/>
      <c r="O246" s="70"/>
      <c r="P246" s="70"/>
      <c r="Q246" s="70"/>
      <c r="R246" s="70"/>
      <c r="S246" s="70"/>
      <c r="T246" s="70"/>
      <c r="U246" s="70"/>
      <c r="V246" s="43"/>
      <c r="W246" s="43"/>
      <c r="X246" s="43"/>
      <c r="Y246" s="43"/>
      <c r="Z246" s="43"/>
      <c r="AA246" s="43"/>
      <c r="AB246" s="43"/>
      <c r="AC246" s="43"/>
      <c r="AD246" s="43"/>
    </row>
    <row r="247" spans="1:30">
      <c r="A247" s="186"/>
      <c r="B247" s="309"/>
      <c r="C247" s="418"/>
      <c r="D247" s="235"/>
      <c r="E247" s="218"/>
      <c r="F247" s="30"/>
      <c r="G247" s="213"/>
      <c r="H247" s="258"/>
      <c r="I247" s="281"/>
      <c r="J247" s="73"/>
      <c r="K247" s="68"/>
      <c r="L247" s="419"/>
      <c r="M247" s="91"/>
      <c r="N247" s="94"/>
      <c r="O247" s="70"/>
      <c r="P247" s="70"/>
      <c r="Q247" s="70"/>
      <c r="R247" s="70"/>
      <c r="S247" s="70"/>
      <c r="T247" s="70"/>
      <c r="U247" s="70"/>
      <c r="V247" s="43"/>
      <c r="W247" s="43"/>
      <c r="X247" s="43"/>
      <c r="Y247" s="43"/>
      <c r="Z247" s="43"/>
      <c r="AA247" s="43"/>
      <c r="AB247" s="43"/>
      <c r="AC247" s="43"/>
      <c r="AD247" s="43"/>
    </row>
    <row r="248" spans="1:30">
      <c r="A248" s="186"/>
      <c r="B248" s="309"/>
      <c r="C248" s="417"/>
      <c r="D248" s="237"/>
      <c r="E248" s="220"/>
      <c r="F248" s="30"/>
      <c r="G248" s="30"/>
      <c r="H248" s="260"/>
      <c r="I248" s="282"/>
      <c r="J248" s="73"/>
      <c r="K248" s="72"/>
      <c r="L248" s="416"/>
      <c r="M248" s="76"/>
      <c r="N248" s="94"/>
      <c r="O248" s="70"/>
      <c r="P248" s="70"/>
      <c r="Q248" s="70"/>
      <c r="R248" s="70"/>
      <c r="S248" s="70"/>
      <c r="T248" s="70"/>
      <c r="U248" s="70"/>
      <c r="V248" s="43"/>
      <c r="W248" s="43"/>
      <c r="X248" s="43"/>
      <c r="Y248" s="43"/>
      <c r="Z248" s="43"/>
      <c r="AA248" s="43"/>
      <c r="AB248" s="43"/>
      <c r="AC248" s="43"/>
      <c r="AD248" s="43"/>
    </row>
    <row r="249" spans="1:30">
      <c r="A249" s="186"/>
      <c r="B249" s="309"/>
      <c r="C249" s="418"/>
      <c r="D249" s="236"/>
      <c r="E249" s="221"/>
      <c r="F249" s="30"/>
      <c r="G249" s="30"/>
      <c r="H249" s="260"/>
      <c r="I249" s="282"/>
      <c r="J249" s="73"/>
      <c r="K249" s="72"/>
      <c r="L249" s="76"/>
      <c r="M249" s="76"/>
      <c r="N249" s="94"/>
      <c r="O249" s="70"/>
      <c r="P249" s="70"/>
      <c r="Q249" s="70"/>
      <c r="R249" s="70"/>
      <c r="S249" s="70"/>
      <c r="T249" s="70"/>
      <c r="U249" s="70"/>
      <c r="V249" s="43"/>
      <c r="W249" s="43"/>
      <c r="X249" s="43"/>
      <c r="Y249" s="43"/>
      <c r="Z249" s="43"/>
      <c r="AA249" s="43"/>
      <c r="AB249" s="43"/>
      <c r="AC249" s="43"/>
      <c r="AD249" s="43"/>
    </row>
    <row r="250" spans="1:30">
      <c r="A250" s="186"/>
      <c r="B250" s="309"/>
      <c r="C250" s="336"/>
      <c r="D250" s="237"/>
      <c r="E250" s="220"/>
      <c r="F250" s="218"/>
      <c r="G250" s="218"/>
      <c r="H250" s="262"/>
      <c r="I250" s="284"/>
      <c r="J250" s="73"/>
      <c r="K250" s="76"/>
      <c r="L250" s="76"/>
      <c r="M250" s="76"/>
      <c r="N250" s="94"/>
      <c r="O250" s="70"/>
      <c r="P250" s="70"/>
      <c r="Q250" s="70"/>
      <c r="R250" s="70"/>
      <c r="S250" s="70"/>
      <c r="T250" s="70"/>
      <c r="U250" s="70"/>
      <c r="V250" s="43"/>
      <c r="W250" s="43"/>
      <c r="X250" s="43"/>
      <c r="Y250" s="43"/>
      <c r="Z250" s="43"/>
      <c r="AA250" s="43"/>
      <c r="AB250" s="43"/>
      <c r="AC250" s="43"/>
      <c r="AD250" s="43"/>
    </row>
    <row r="251" spans="1:30">
      <c r="A251" s="186"/>
      <c r="B251" s="309"/>
      <c r="C251" s="417"/>
      <c r="D251" s="236"/>
      <c r="E251" s="221"/>
      <c r="F251" s="218"/>
      <c r="G251" s="218"/>
      <c r="H251" s="262"/>
      <c r="I251" s="284"/>
      <c r="J251" s="73"/>
      <c r="K251" s="76"/>
      <c r="L251" s="76"/>
      <c r="M251" s="76"/>
      <c r="N251" s="94"/>
      <c r="O251" s="70"/>
      <c r="P251" s="70"/>
      <c r="Q251" s="70"/>
      <c r="R251" s="70"/>
      <c r="S251" s="70"/>
      <c r="T251" s="70"/>
      <c r="U251" s="70"/>
      <c r="V251" s="43"/>
      <c r="W251" s="43"/>
      <c r="X251" s="43"/>
      <c r="Y251" s="43"/>
      <c r="Z251" s="43"/>
      <c r="AA251" s="43"/>
      <c r="AB251" s="43"/>
      <c r="AC251" s="43"/>
      <c r="AD251" s="43"/>
    </row>
    <row r="252" spans="1:30">
      <c r="A252" s="186"/>
      <c r="B252" s="309"/>
      <c r="C252" s="420"/>
      <c r="D252" s="235"/>
      <c r="E252" s="218"/>
      <c r="F252" s="218"/>
      <c r="G252" s="218"/>
      <c r="H252" s="262"/>
      <c r="I252" s="284"/>
      <c r="J252" s="73"/>
      <c r="K252" s="76"/>
      <c r="L252" s="76"/>
      <c r="M252" s="76"/>
      <c r="N252" s="94"/>
      <c r="O252" s="70"/>
      <c r="P252" s="70"/>
      <c r="Q252" s="70"/>
      <c r="R252" s="70"/>
      <c r="S252" s="70"/>
      <c r="T252" s="70"/>
      <c r="U252" s="70"/>
      <c r="V252" s="43"/>
      <c r="W252" s="43"/>
      <c r="X252" s="43"/>
      <c r="Y252" s="43"/>
      <c r="Z252" s="43"/>
      <c r="AA252" s="43"/>
      <c r="AB252" s="43"/>
      <c r="AC252" s="43"/>
      <c r="AD252" s="43"/>
    </row>
    <row r="253" spans="1:30">
      <c r="A253" s="186"/>
      <c r="B253" s="309"/>
      <c r="C253" s="418"/>
      <c r="D253" s="237"/>
      <c r="E253" s="220"/>
      <c r="F253" s="218"/>
      <c r="G253" s="218"/>
      <c r="H253" s="262"/>
      <c r="I253" s="284"/>
      <c r="J253" s="73"/>
      <c r="K253" s="76"/>
      <c r="L253" s="76"/>
      <c r="M253" s="76"/>
      <c r="N253" s="94"/>
      <c r="O253" s="70"/>
      <c r="P253" s="70"/>
      <c r="Q253" s="70"/>
      <c r="R253" s="70"/>
      <c r="S253" s="70"/>
      <c r="T253" s="70"/>
      <c r="U253" s="70"/>
      <c r="V253" s="43"/>
      <c r="W253" s="43"/>
      <c r="X253" s="43"/>
      <c r="Y253" s="43"/>
      <c r="Z253" s="43"/>
      <c r="AA253" s="43"/>
      <c r="AB253" s="43"/>
      <c r="AC253" s="43"/>
      <c r="AD253" s="43"/>
    </row>
    <row r="254" spans="1:30">
      <c r="A254" s="186"/>
      <c r="B254" s="309"/>
      <c r="C254" s="340"/>
      <c r="D254" s="234"/>
      <c r="E254" s="223"/>
      <c r="F254" s="218"/>
      <c r="G254" s="218"/>
      <c r="H254" s="262"/>
      <c r="I254" s="284"/>
      <c r="J254" s="73"/>
      <c r="K254" s="76"/>
      <c r="L254" s="76"/>
      <c r="M254" s="76"/>
      <c r="N254" s="94"/>
      <c r="O254" s="70"/>
      <c r="P254" s="70"/>
      <c r="Q254" s="70"/>
      <c r="R254" s="70"/>
      <c r="S254" s="70"/>
      <c r="T254" s="70"/>
      <c r="U254" s="70"/>
      <c r="V254" s="43"/>
      <c r="W254" s="43"/>
      <c r="X254" s="43"/>
      <c r="Y254" s="43"/>
      <c r="Z254" s="43"/>
      <c r="AA254" s="43"/>
      <c r="AB254" s="43"/>
      <c r="AC254" s="43"/>
      <c r="AD254" s="43"/>
    </row>
    <row r="255" spans="1:30">
      <c r="A255" s="186"/>
      <c r="B255" s="309"/>
      <c r="C255" s="339"/>
      <c r="D255" s="236"/>
      <c r="E255" s="221"/>
      <c r="F255" s="218"/>
      <c r="G255" s="218"/>
      <c r="H255" s="262"/>
      <c r="I255" s="284"/>
      <c r="J255" s="82"/>
      <c r="K255" s="76"/>
      <c r="L255" s="93"/>
      <c r="M255" s="76"/>
      <c r="N255" s="94"/>
      <c r="O255" s="70"/>
      <c r="P255" s="70"/>
      <c r="Q255" s="70"/>
      <c r="R255" s="70"/>
      <c r="S255" s="70"/>
      <c r="T255" s="70"/>
      <c r="U255" s="70"/>
      <c r="V255" s="43"/>
      <c r="W255" s="43"/>
      <c r="X255" s="43"/>
      <c r="Y255" s="43"/>
      <c r="Z255" s="43"/>
      <c r="AA255" s="43"/>
      <c r="AB255" s="43"/>
      <c r="AC255" s="43"/>
      <c r="AD255" s="43"/>
    </row>
    <row r="256" spans="1:30">
      <c r="A256" s="188"/>
      <c r="B256" s="312"/>
      <c r="C256" s="339"/>
      <c r="D256" s="238"/>
      <c r="E256" s="385"/>
      <c r="F256" s="222"/>
      <c r="G256" s="222"/>
      <c r="H256" s="265"/>
      <c r="I256" s="287"/>
      <c r="J256" s="73"/>
      <c r="K256" s="81"/>
      <c r="L256" s="76"/>
      <c r="M256" s="93"/>
      <c r="N256" s="189"/>
      <c r="O256" s="183"/>
      <c r="P256" s="183"/>
      <c r="Q256" s="183"/>
      <c r="R256" s="183"/>
      <c r="S256" s="183"/>
      <c r="T256" s="183"/>
      <c r="U256" s="183"/>
      <c r="V256" s="190"/>
      <c r="W256" s="190"/>
      <c r="X256" s="190"/>
      <c r="Y256" s="190"/>
      <c r="Z256" s="190"/>
      <c r="AA256" s="190"/>
      <c r="AB256" s="190"/>
      <c r="AC256" s="190"/>
      <c r="AD256" s="190"/>
    </row>
    <row r="257" spans="1:30">
      <c r="A257" s="191"/>
      <c r="B257" s="313"/>
      <c r="C257" s="339"/>
      <c r="D257" s="234"/>
      <c r="E257" s="223"/>
      <c r="F257" s="218"/>
      <c r="G257" s="218"/>
      <c r="H257" s="262"/>
      <c r="I257" s="284"/>
      <c r="J257" s="73"/>
      <c r="K257" s="76"/>
      <c r="L257" s="76"/>
      <c r="M257" s="76"/>
      <c r="N257" s="76"/>
      <c r="O257" s="76"/>
      <c r="P257" s="76"/>
      <c r="Q257" s="76"/>
      <c r="R257" s="76"/>
      <c r="S257" s="76"/>
      <c r="T257" s="76"/>
      <c r="U257" s="76"/>
      <c r="V257" s="192"/>
      <c r="W257" s="192"/>
      <c r="X257" s="192"/>
      <c r="Y257" s="192"/>
      <c r="Z257" s="192"/>
      <c r="AA257" s="192"/>
      <c r="AB257" s="192"/>
      <c r="AC257" s="192"/>
      <c r="AD257" s="192"/>
    </row>
    <row r="258" spans="1:30">
      <c r="A258" s="191"/>
      <c r="B258" s="313"/>
      <c r="C258" s="339"/>
      <c r="D258" s="234"/>
      <c r="E258" s="223"/>
      <c r="F258" s="218"/>
      <c r="G258" s="218"/>
      <c r="H258" s="262"/>
      <c r="I258" s="284"/>
      <c r="J258" s="73"/>
      <c r="K258" s="76"/>
      <c r="L258" s="76"/>
      <c r="M258" s="76"/>
      <c r="N258" s="76"/>
      <c r="O258" s="76"/>
      <c r="P258" s="76"/>
      <c r="Q258" s="76"/>
      <c r="R258" s="76"/>
      <c r="S258" s="76"/>
      <c r="T258" s="76"/>
      <c r="U258" s="76"/>
      <c r="V258" s="192"/>
      <c r="W258" s="192"/>
      <c r="X258" s="192"/>
      <c r="Y258" s="192"/>
      <c r="Z258" s="192"/>
      <c r="AA258" s="192"/>
      <c r="AB258" s="192"/>
      <c r="AC258" s="192"/>
      <c r="AD258" s="192"/>
    </row>
    <row r="259" spans="1:30">
      <c r="A259" s="191"/>
      <c r="B259" s="313"/>
      <c r="C259" s="417"/>
      <c r="D259" s="234"/>
      <c r="E259" s="223"/>
      <c r="F259" s="218"/>
      <c r="G259" s="218"/>
      <c r="H259" s="262"/>
      <c r="I259" s="284"/>
      <c r="J259" s="87"/>
      <c r="K259" s="76"/>
      <c r="L259" s="88"/>
      <c r="M259" s="76"/>
      <c r="N259" s="76"/>
      <c r="O259" s="76"/>
      <c r="P259" s="76"/>
      <c r="Q259" s="76"/>
      <c r="R259" s="76"/>
      <c r="S259" s="76"/>
      <c r="T259" s="76"/>
      <c r="U259" s="76"/>
      <c r="V259" s="192"/>
      <c r="W259" s="192"/>
      <c r="X259" s="192"/>
      <c r="Y259" s="192"/>
      <c r="Z259" s="192"/>
      <c r="AA259" s="192"/>
      <c r="AB259" s="192"/>
      <c r="AC259" s="192"/>
      <c r="AD259" s="192"/>
    </row>
    <row r="260" spans="1:30">
      <c r="A260" s="191"/>
      <c r="B260" s="313"/>
      <c r="C260" s="420"/>
      <c r="D260" s="234"/>
      <c r="E260" s="223"/>
      <c r="F260" s="218"/>
      <c r="G260" s="220"/>
      <c r="H260" s="269"/>
      <c r="I260" s="291"/>
      <c r="J260" s="73"/>
      <c r="K260" s="88"/>
      <c r="L260" s="72"/>
      <c r="M260" s="88"/>
      <c r="N260" s="76"/>
      <c r="O260" s="76"/>
      <c r="P260" s="76"/>
      <c r="Q260" s="76"/>
      <c r="R260" s="76"/>
      <c r="S260" s="76"/>
      <c r="T260" s="76"/>
      <c r="U260" s="76"/>
      <c r="V260" s="192"/>
      <c r="W260" s="192"/>
      <c r="X260" s="192"/>
      <c r="Y260" s="192"/>
      <c r="Z260" s="192"/>
      <c r="AA260" s="192"/>
      <c r="AB260" s="192"/>
      <c r="AC260" s="192"/>
      <c r="AD260" s="192"/>
    </row>
    <row r="261" spans="1:30">
      <c r="A261" s="191"/>
      <c r="B261" s="436"/>
      <c r="C261" s="420"/>
      <c r="D261" s="235"/>
      <c r="E261" s="220"/>
      <c r="F261" s="435"/>
      <c r="G261" s="30"/>
      <c r="H261" s="260"/>
      <c r="I261" s="282"/>
      <c r="J261" s="73"/>
      <c r="K261" s="72"/>
      <c r="L261" s="72"/>
      <c r="M261" s="76"/>
      <c r="N261" s="187"/>
      <c r="O261" s="76"/>
      <c r="P261" s="76"/>
      <c r="Q261" s="76"/>
      <c r="R261" s="76"/>
      <c r="S261" s="76"/>
      <c r="T261" s="76"/>
      <c r="U261" s="76"/>
      <c r="V261" s="192"/>
      <c r="W261" s="192"/>
      <c r="X261" s="192"/>
      <c r="Y261" s="192"/>
      <c r="Z261" s="192"/>
      <c r="AA261" s="192"/>
      <c r="AB261" s="192"/>
      <c r="AC261" s="192"/>
      <c r="AD261" s="192"/>
    </row>
    <row r="262" spans="1:30">
      <c r="A262" s="191"/>
      <c r="B262" s="437"/>
      <c r="C262" s="420"/>
      <c r="D262" s="235"/>
      <c r="E262" s="223"/>
      <c r="F262" s="423"/>
      <c r="G262" s="30"/>
      <c r="H262" s="260"/>
      <c r="I262" s="282"/>
      <c r="J262" s="73"/>
      <c r="K262" s="72"/>
      <c r="L262" s="72"/>
      <c r="M262" s="76"/>
      <c r="N262" s="187"/>
      <c r="O262" s="76"/>
      <c r="P262" s="76"/>
      <c r="Q262" s="76"/>
      <c r="R262" s="76"/>
      <c r="S262" s="76"/>
      <c r="T262" s="76"/>
      <c r="U262" s="76"/>
      <c r="V262" s="192"/>
      <c r="W262" s="192"/>
      <c r="X262" s="192"/>
      <c r="Y262" s="192"/>
      <c r="Z262" s="192"/>
      <c r="AA262" s="192"/>
      <c r="AB262" s="192"/>
      <c r="AC262" s="192"/>
      <c r="AD262" s="192"/>
    </row>
    <row r="263" spans="1:30">
      <c r="A263" s="191"/>
      <c r="B263" s="437"/>
      <c r="C263" s="420"/>
      <c r="D263" s="235"/>
      <c r="E263" s="223"/>
      <c r="F263" s="423"/>
      <c r="G263" s="30"/>
      <c r="H263" s="260"/>
      <c r="I263" s="282"/>
      <c r="J263" s="73"/>
      <c r="K263" s="72"/>
      <c r="L263" s="72"/>
      <c r="M263" s="76"/>
      <c r="N263" s="187"/>
      <c r="O263" s="76"/>
      <c r="P263" s="76"/>
      <c r="Q263" s="76"/>
      <c r="R263" s="76"/>
      <c r="S263" s="76"/>
      <c r="T263" s="76"/>
      <c r="U263" s="76"/>
      <c r="V263" s="192"/>
      <c r="W263" s="192"/>
      <c r="X263" s="192"/>
      <c r="Y263" s="192"/>
      <c r="Z263" s="192"/>
      <c r="AA263" s="192"/>
      <c r="AB263" s="192"/>
      <c r="AC263" s="192"/>
      <c r="AD263" s="192"/>
    </row>
    <row r="264" spans="1:30">
      <c r="A264" s="191"/>
      <c r="B264" s="437"/>
      <c r="C264" s="420"/>
      <c r="D264" s="235"/>
      <c r="E264" s="223"/>
      <c r="F264" s="423"/>
      <c r="G264" s="30"/>
      <c r="H264" s="260"/>
      <c r="I264" s="282"/>
      <c r="J264" s="73"/>
      <c r="K264" s="72"/>
      <c r="L264" s="72"/>
      <c r="M264" s="76"/>
      <c r="N264" s="187"/>
      <c r="O264" s="76"/>
      <c r="P264" s="76"/>
      <c r="Q264" s="76"/>
      <c r="R264" s="76"/>
      <c r="S264" s="76"/>
      <c r="T264" s="76"/>
      <c r="U264" s="76"/>
      <c r="V264" s="192"/>
      <c r="W264" s="192"/>
      <c r="X264" s="192"/>
      <c r="Y264" s="192"/>
      <c r="Z264" s="192"/>
      <c r="AA264" s="192"/>
      <c r="AB264" s="192"/>
      <c r="AC264" s="192"/>
      <c r="AD264" s="192"/>
    </row>
    <row r="265" spans="1:30">
      <c r="A265" s="191"/>
      <c r="B265" s="437"/>
      <c r="C265" s="420"/>
      <c r="D265" s="235"/>
      <c r="E265" s="223"/>
      <c r="F265" s="423"/>
      <c r="G265" s="30"/>
      <c r="H265" s="260"/>
      <c r="I265" s="282"/>
      <c r="J265" s="73"/>
      <c r="K265" s="72"/>
      <c r="L265" s="72"/>
      <c r="M265" s="76"/>
      <c r="N265" s="187"/>
      <c r="O265" s="76"/>
      <c r="P265" s="76"/>
      <c r="Q265" s="76"/>
      <c r="R265" s="76"/>
      <c r="S265" s="76"/>
      <c r="T265" s="76"/>
      <c r="U265" s="76"/>
      <c r="V265" s="192"/>
      <c r="W265" s="192"/>
      <c r="X265" s="192"/>
      <c r="Y265" s="192"/>
      <c r="Z265" s="192"/>
      <c r="AA265" s="192"/>
      <c r="AB265" s="192"/>
      <c r="AC265" s="192"/>
      <c r="AD265" s="192"/>
    </row>
    <row r="266" spans="1:30">
      <c r="A266" s="191"/>
      <c r="B266" s="437"/>
      <c r="C266" s="420"/>
      <c r="D266" s="235"/>
      <c r="E266" s="223"/>
      <c r="F266" s="423"/>
      <c r="G266" s="30"/>
      <c r="H266" s="260"/>
      <c r="I266" s="282"/>
      <c r="J266" s="73"/>
      <c r="K266" s="72"/>
      <c r="L266" s="72"/>
      <c r="M266" s="76"/>
      <c r="N266" s="187"/>
      <c r="O266" s="76"/>
      <c r="P266" s="76"/>
      <c r="Q266" s="76"/>
      <c r="R266" s="76"/>
      <c r="S266" s="76"/>
      <c r="T266" s="76"/>
      <c r="U266" s="76"/>
      <c r="V266" s="192"/>
      <c r="W266" s="192"/>
      <c r="X266" s="192"/>
      <c r="Y266" s="192"/>
      <c r="Z266" s="192"/>
      <c r="AA266" s="192"/>
      <c r="AB266" s="192"/>
      <c r="AC266" s="192"/>
      <c r="AD266" s="192"/>
    </row>
    <row r="267" spans="1:30">
      <c r="A267" s="191"/>
      <c r="B267" s="437"/>
      <c r="C267" s="420"/>
      <c r="D267" s="235"/>
      <c r="E267" s="223"/>
      <c r="F267" s="423"/>
      <c r="G267" s="30"/>
      <c r="H267" s="260"/>
      <c r="I267" s="282"/>
      <c r="J267" s="73"/>
      <c r="K267" s="72"/>
      <c r="L267" s="72"/>
      <c r="M267" s="76"/>
      <c r="N267" s="187"/>
      <c r="O267" s="76"/>
      <c r="P267" s="76"/>
      <c r="Q267" s="76"/>
      <c r="R267" s="76"/>
      <c r="S267" s="76"/>
      <c r="T267" s="76"/>
      <c r="U267" s="76"/>
      <c r="V267" s="192"/>
      <c r="W267" s="192"/>
      <c r="X267" s="192"/>
      <c r="Y267" s="192"/>
      <c r="Z267" s="192"/>
      <c r="AA267" s="192"/>
      <c r="AB267" s="192"/>
      <c r="AC267" s="192"/>
      <c r="AD267" s="192"/>
    </row>
    <row r="268" spans="1:30">
      <c r="A268" s="191"/>
      <c r="B268" s="437"/>
      <c r="C268" s="420"/>
      <c r="D268" s="235"/>
      <c r="E268" s="221"/>
      <c r="F268" s="424"/>
      <c r="G268" s="30"/>
      <c r="H268" s="260"/>
      <c r="I268" s="282"/>
      <c r="J268" s="69"/>
      <c r="K268" s="72"/>
      <c r="L268" s="91"/>
      <c r="M268" s="76"/>
      <c r="N268" s="187"/>
      <c r="O268" s="76"/>
      <c r="P268" s="76"/>
      <c r="Q268" s="76"/>
      <c r="R268" s="76"/>
      <c r="S268" s="76"/>
      <c r="T268" s="76"/>
      <c r="U268" s="76"/>
      <c r="V268" s="192"/>
      <c r="W268" s="192"/>
      <c r="X268" s="192"/>
      <c r="Y268" s="192"/>
      <c r="Z268" s="192"/>
      <c r="AA268" s="192"/>
      <c r="AB268" s="192"/>
      <c r="AC268" s="192"/>
      <c r="AD268" s="192"/>
    </row>
    <row r="269" spans="1:30">
      <c r="A269" s="191"/>
      <c r="B269" s="437"/>
      <c r="C269" s="420"/>
      <c r="D269" s="235"/>
      <c r="E269" s="218"/>
      <c r="F269" s="218"/>
      <c r="G269" s="221"/>
      <c r="H269" s="270"/>
      <c r="I269" s="292"/>
      <c r="J269" s="73"/>
      <c r="K269" s="91"/>
      <c r="L269" s="76"/>
      <c r="M269" s="91"/>
      <c r="N269" s="76"/>
      <c r="O269" s="76"/>
      <c r="P269" s="76"/>
      <c r="Q269" s="76"/>
      <c r="R269" s="76"/>
      <c r="S269" s="76"/>
      <c r="T269" s="76"/>
      <c r="U269" s="76"/>
      <c r="V269" s="192"/>
      <c r="W269" s="192"/>
      <c r="X269" s="192"/>
      <c r="Y269" s="192"/>
      <c r="Z269" s="192"/>
      <c r="AA269" s="192"/>
      <c r="AB269" s="192"/>
      <c r="AC269" s="192"/>
      <c r="AD269" s="192"/>
    </row>
    <row r="270" spans="1:30">
      <c r="A270" s="191"/>
      <c r="B270" s="437"/>
      <c r="C270" s="420"/>
      <c r="D270" s="235"/>
      <c r="E270" s="218"/>
      <c r="F270" s="218"/>
      <c r="G270" s="218"/>
      <c r="H270" s="262"/>
      <c r="I270" s="284"/>
      <c r="J270" s="73"/>
      <c r="K270" s="76"/>
      <c r="L270" s="76"/>
      <c r="M270" s="76"/>
      <c r="N270" s="76"/>
      <c r="O270" s="76"/>
      <c r="P270" s="76"/>
      <c r="Q270" s="76"/>
      <c r="R270" s="76"/>
      <c r="S270" s="76"/>
      <c r="T270" s="76"/>
      <c r="U270" s="76"/>
      <c r="V270" s="192"/>
      <c r="W270" s="192"/>
      <c r="X270" s="192"/>
      <c r="Y270" s="192"/>
      <c r="Z270" s="192"/>
      <c r="AA270" s="192"/>
      <c r="AB270" s="192"/>
      <c r="AC270" s="192"/>
      <c r="AD270" s="192"/>
    </row>
    <row r="271" spans="1:30">
      <c r="A271" s="191"/>
      <c r="B271" s="437"/>
      <c r="C271" s="420"/>
      <c r="D271" s="237"/>
      <c r="E271" s="220"/>
      <c r="F271" s="435"/>
      <c r="G271" s="218"/>
      <c r="H271" s="262"/>
      <c r="I271" s="284"/>
      <c r="J271" s="73"/>
      <c r="K271" s="76"/>
      <c r="L271" s="76"/>
      <c r="M271" s="76"/>
      <c r="N271" s="76"/>
      <c r="O271" s="76"/>
      <c r="P271" s="76"/>
      <c r="Q271" s="76"/>
      <c r="R271" s="76"/>
      <c r="S271" s="76"/>
      <c r="T271" s="76"/>
      <c r="U271" s="76"/>
      <c r="V271" s="192"/>
      <c r="W271" s="192"/>
      <c r="X271" s="192"/>
      <c r="Y271" s="192"/>
      <c r="Z271" s="192"/>
      <c r="AA271" s="192"/>
      <c r="AB271" s="192"/>
      <c r="AC271" s="192"/>
      <c r="AD271" s="192"/>
    </row>
    <row r="272" spans="1:30">
      <c r="A272" s="191"/>
      <c r="B272" s="437"/>
      <c r="C272" s="418"/>
      <c r="D272" s="234"/>
      <c r="E272" s="223"/>
      <c r="F272" s="423"/>
      <c r="G272" s="218"/>
      <c r="H272" s="262"/>
      <c r="I272" s="284"/>
      <c r="J272" s="73"/>
      <c r="K272" s="76"/>
      <c r="L272" s="76"/>
      <c r="M272" s="76"/>
      <c r="N272" s="76"/>
      <c r="O272" s="76"/>
      <c r="P272" s="76"/>
      <c r="Q272" s="76"/>
      <c r="R272" s="76"/>
      <c r="S272" s="76"/>
      <c r="T272" s="76"/>
      <c r="U272" s="76"/>
      <c r="V272" s="192"/>
      <c r="W272" s="192"/>
      <c r="X272" s="192"/>
      <c r="Y272" s="192"/>
      <c r="Z272" s="192"/>
      <c r="AA272" s="192"/>
      <c r="AB272" s="192"/>
      <c r="AC272" s="192"/>
      <c r="AD272" s="192"/>
    </row>
    <row r="273" spans="1:30">
      <c r="A273" s="191"/>
      <c r="B273" s="437"/>
      <c r="C273" s="336"/>
      <c r="D273" s="234"/>
      <c r="E273" s="223"/>
      <c r="F273" s="423"/>
      <c r="G273" s="218"/>
      <c r="H273" s="262"/>
      <c r="I273" s="284"/>
      <c r="J273" s="73"/>
      <c r="K273" s="76"/>
      <c r="L273" s="76"/>
      <c r="M273" s="76"/>
      <c r="N273" s="76"/>
      <c r="O273" s="76"/>
      <c r="P273" s="76"/>
      <c r="Q273" s="76"/>
      <c r="R273" s="76"/>
      <c r="S273" s="76"/>
      <c r="T273" s="76"/>
      <c r="U273" s="76"/>
      <c r="V273" s="192"/>
      <c r="W273" s="192"/>
      <c r="X273" s="192"/>
      <c r="Y273" s="192"/>
      <c r="Z273" s="192"/>
      <c r="AA273" s="192"/>
      <c r="AB273" s="192"/>
      <c r="AC273" s="192"/>
      <c r="AD273" s="192"/>
    </row>
    <row r="274" spans="1:30">
      <c r="A274" s="191"/>
      <c r="B274" s="437"/>
      <c r="C274" s="417"/>
      <c r="D274" s="236"/>
      <c r="E274" s="221"/>
      <c r="F274" s="424"/>
      <c r="G274" s="218"/>
      <c r="H274" s="262"/>
      <c r="I274" s="284"/>
      <c r="J274" s="73"/>
      <c r="K274" s="76"/>
      <c r="L274" s="76"/>
      <c r="M274" s="76"/>
      <c r="N274" s="76"/>
      <c r="O274" s="76"/>
      <c r="P274" s="76"/>
      <c r="Q274" s="76"/>
      <c r="R274" s="76"/>
      <c r="S274" s="76"/>
      <c r="T274" s="76"/>
      <c r="U274" s="76"/>
      <c r="V274" s="192"/>
      <c r="W274" s="192"/>
      <c r="X274" s="192"/>
      <c r="Y274" s="192"/>
      <c r="Z274" s="192"/>
      <c r="AA274" s="192"/>
      <c r="AB274" s="192"/>
      <c r="AC274" s="192"/>
      <c r="AD274" s="192"/>
    </row>
    <row r="275" spans="1:30">
      <c r="A275" s="191"/>
      <c r="B275" s="437"/>
      <c r="C275" s="420"/>
      <c r="D275" s="234"/>
      <c r="E275" s="223"/>
      <c r="F275" s="223"/>
      <c r="G275" s="218"/>
      <c r="H275" s="262"/>
      <c r="I275" s="284"/>
      <c r="J275" s="73"/>
      <c r="K275" s="76"/>
      <c r="L275" s="76"/>
      <c r="M275" s="76"/>
      <c r="N275" s="76"/>
      <c r="O275" s="76"/>
      <c r="P275" s="76"/>
      <c r="Q275" s="76"/>
      <c r="R275" s="76"/>
      <c r="S275" s="76"/>
      <c r="T275" s="76"/>
      <c r="U275" s="76"/>
      <c r="V275" s="192"/>
      <c r="W275" s="192"/>
      <c r="X275" s="192"/>
      <c r="Y275" s="192"/>
      <c r="Z275" s="192"/>
      <c r="AA275" s="192"/>
      <c r="AB275" s="192"/>
      <c r="AC275" s="192"/>
      <c r="AD275" s="192"/>
    </row>
    <row r="276" spans="1:30">
      <c r="A276" s="191"/>
      <c r="B276" s="437"/>
      <c r="C276" s="420"/>
      <c r="D276" s="237"/>
      <c r="E276" s="220"/>
      <c r="F276" s="435"/>
      <c r="G276" s="218"/>
      <c r="H276" s="262"/>
      <c r="I276" s="284"/>
      <c r="J276" s="73"/>
      <c r="K276" s="76"/>
      <c r="L276" s="76"/>
      <c r="M276" s="76"/>
      <c r="N276" s="76"/>
      <c r="O276" s="76"/>
      <c r="P276" s="76"/>
      <c r="Q276" s="76"/>
      <c r="R276" s="76"/>
      <c r="S276" s="76"/>
      <c r="T276" s="76"/>
      <c r="U276" s="76"/>
      <c r="V276" s="192"/>
      <c r="W276" s="192"/>
      <c r="X276" s="192"/>
      <c r="Y276" s="192"/>
      <c r="Z276" s="192"/>
      <c r="AA276" s="192"/>
      <c r="AB276" s="192"/>
      <c r="AC276" s="192"/>
      <c r="AD276" s="192"/>
    </row>
    <row r="277" spans="1:30">
      <c r="A277" s="191"/>
      <c r="B277" s="437"/>
      <c r="C277" s="418"/>
      <c r="D277" s="236"/>
      <c r="E277" s="221"/>
      <c r="F277" s="424"/>
      <c r="G277" s="218"/>
      <c r="H277" s="262"/>
      <c r="I277" s="284"/>
      <c r="J277" s="73"/>
      <c r="K277" s="76"/>
      <c r="L277" s="76"/>
      <c r="M277" s="76"/>
      <c r="N277" s="76"/>
      <c r="O277" s="76"/>
      <c r="P277" s="76"/>
      <c r="Q277" s="76"/>
      <c r="R277" s="76"/>
      <c r="S277" s="76"/>
      <c r="T277" s="76"/>
      <c r="U277" s="76"/>
      <c r="V277" s="192"/>
      <c r="W277" s="192"/>
      <c r="X277" s="192"/>
      <c r="Y277" s="192"/>
      <c r="Z277" s="192"/>
      <c r="AA277" s="192"/>
      <c r="AB277" s="192"/>
      <c r="AC277" s="192"/>
      <c r="AD277" s="192"/>
    </row>
    <row r="278" spans="1:30">
      <c r="A278" s="191"/>
      <c r="B278" s="437"/>
      <c r="C278" s="336"/>
      <c r="D278" s="235"/>
      <c r="E278" s="220"/>
      <c r="F278" s="435"/>
      <c r="G278" s="218"/>
      <c r="H278" s="262"/>
      <c r="I278" s="284"/>
      <c r="J278" s="73"/>
      <c r="K278" s="76"/>
      <c r="L278" s="76"/>
      <c r="M278" s="76"/>
      <c r="N278" s="76"/>
      <c r="O278" s="76"/>
      <c r="P278" s="76"/>
      <c r="Q278" s="76"/>
      <c r="R278" s="76"/>
      <c r="S278" s="76"/>
      <c r="T278" s="76"/>
      <c r="U278" s="76"/>
      <c r="V278" s="192"/>
      <c r="W278" s="192"/>
      <c r="X278" s="192"/>
      <c r="Y278" s="192"/>
      <c r="Z278" s="192"/>
      <c r="AA278" s="192"/>
      <c r="AB278" s="192"/>
      <c r="AC278" s="192"/>
      <c r="AD278" s="192"/>
    </row>
    <row r="279" spans="1:30">
      <c r="A279" s="191"/>
      <c r="B279" s="437"/>
      <c r="C279" s="417"/>
      <c r="D279" s="235"/>
      <c r="E279" s="221"/>
      <c r="F279" s="424"/>
      <c r="G279" s="218"/>
      <c r="H279" s="262"/>
      <c r="I279" s="284"/>
      <c r="J279" s="73"/>
      <c r="K279" s="76"/>
      <c r="L279" s="76"/>
      <c r="M279" s="76"/>
      <c r="N279" s="76"/>
      <c r="O279" s="76"/>
      <c r="P279" s="76"/>
      <c r="Q279" s="76"/>
      <c r="R279" s="76"/>
      <c r="S279" s="76"/>
      <c r="T279" s="76"/>
      <c r="U279" s="76"/>
      <c r="V279" s="192"/>
      <c r="W279" s="192"/>
      <c r="X279" s="192"/>
      <c r="Y279" s="192"/>
      <c r="Z279" s="192"/>
      <c r="AA279" s="192"/>
      <c r="AB279" s="192"/>
      <c r="AC279" s="192"/>
      <c r="AD279" s="192"/>
    </row>
    <row r="280" spans="1:30">
      <c r="A280" s="191"/>
      <c r="B280" s="437"/>
      <c r="C280" s="420"/>
      <c r="D280" s="235"/>
      <c r="E280" s="218"/>
      <c r="F280" s="218"/>
      <c r="G280" s="218"/>
      <c r="H280" s="262"/>
      <c r="I280" s="284"/>
      <c r="J280" s="73"/>
      <c r="K280" s="76"/>
      <c r="L280" s="76"/>
      <c r="M280" s="76"/>
      <c r="N280" s="76"/>
      <c r="O280" s="76"/>
      <c r="P280" s="76"/>
      <c r="Q280" s="76"/>
      <c r="R280" s="76"/>
      <c r="S280" s="76"/>
      <c r="T280" s="76"/>
      <c r="U280" s="76"/>
      <c r="V280" s="192"/>
      <c r="W280" s="192"/>
      <c r="X280" s="192"/>
      <c r="Y280" s="192"/>
      <c r="Z280" s="192"/>
      <c r="AA280" s="192"/>
      <c r="AB280" s="192"/>
      <c r="AC280" s="192"/>
      <c r="AD280" s="192"/>
    </row>
    <row r="281" spans="1:30">
      <c r="A281" s="191"/>
      <c r="B281" s="437"/>
      <c r="C281" s="420"/>
      <c r="D281" s="237"/>
      <c r="E281" s="220"/>
      <c r="F281" s="435"/>
      <c r="G281" s="218"/>
      <c r="H281" s="262"/>
      <c r="I281" s="284"/>
      <c r="J281" s="73"/>
      <c r="K281" s="76"/>
      <c r="L281" s="76"/>
      <c r="M281" s="76"/>
      <c r="N281" s="76"/>
      <c r="O281" s="76"/>
      <c r="P281" s="76"/>
      <c r="Q281" s="76"/>
      <c r="R281" s="76"/>
      <c r="S281" s="76"/>
      <c r="T281" s="76"/>
      <c r="U281" s="76"/>
      <c r="V281" s="192"/>
      <c r="W281" s="192"/>
      <c r="X281" s="192"/>
      <c r="Y281" s="192"/>
      <c r="Z281" s="192"/>
      <c r="AA281" s="192"/>
      <c r="AB281" s="192"/>
      <c r="AC281" s="192"/>
      <c r="AD281" s="192"/>
    </row>
    <row r="282" spans="1:30">
      <c r="A282" s="191"/>
      <c r="B282" s="437"/>
      <c r="C282" s="420"/>
      <c r="D282" s="234"/>
      <c r="E282" s="223"/>
      <c r="F282" s="423"/>
      <c r="G282" s="218"/>
      <c r="H282" s="262"/>
      <c r="I282" s="284"/>
      <c r="J282" s="73"/>
      <c r="K282" s="76"/>
      <c r="L282" s="76"/>
      <c r="M282" s="76"/>
      <c r="N282" s="76"/>
      <c r="O282" s="76"/>
      <c r="P282" s="76"/>
      <c r="Q282" s="76"/>
      <c r="R282" s="76"/>
      <c r="S282" s="76"/>
      <c r="T282" s="76"/>
      <c r="U282" s="76"/>
      <c r="V282" s="192"/>
      <c r="W282" s="192"/>
      <c r="X282" s="192"/>
      <c r="Y282" s="192"/>
      <c r="Z282" s="192"/>
      <c r="AA282" s="192"/>
      <c r="AB282" s="192"/>
      <c r="AC282" s="192"/>
      <c r="AD282" s="192"/>
    </row>
    <row r="283" spans="1:30">
      <c r="A283" s="191"/>
      <c r="B283" s="437"/>
      <c r="C283" s="420"/>
      <c r="D283" s="234"/>
      <c r="E283" s="223"/>
      <c r="F283" s="423"/>
      <c r="G283" s="218"/>
      <c r="H283" s="262"/>
      <c r="I283" s="284"/>
      <c r="J283" s="73"/>
      <c r="K283" s="76"/>
      <c r="L283" s="76"/>
      <c r="M283" s="76"/>
      <c r="N283" s="76"/>
      <c r="O283" s="76"/>
      <c r="P283" s="76"/>
      <c r="Q283" s="76"/>
      <c r="R283" s="76"/>
      <c r="S283" s="76"/>
      <c r="T283" s="76"/>
      <c r="U283" s="76"/>
      <c r="V283" s="192"/>
      <c r="W283" s="192"/>
      <c r="X283" s="192"/>
      <c r="Y283" s="192"/>
      <c r="Z283" s="192"/>
      <c r="AA283" s="192"/>
      <c r="AB283" s="192"/>
      <c r="AC283" s="192"/>
      <c r="AD283" s="192"/>
    </row>
    <row r="284" spans="1:30">
      <c r="A284" s="191"/>
      <c r="B284" s="437"/>
      <c r="C284" s="420"/>
      <c r="D284" s="234"/>
      <c r="E284" s="223"/>
      <c r="F284" s="423"/>
      <c r="G284" s="218"/>
      <c r="H284" s="262"/>
      <c r="I284" s="284"/>
      <c r="J284" s="73"/>
      <c r="K284" s="76"/>
      <c r="L284" s="76"/>
      <c r="M284" s="76"/>
      <c r="N284" s="76"/>
      <c r="O284" s="76"/>
      <c r="P284" s="76"/>
      <c r="Q284" s="76"/>
      <c r="R284" s="76"/>
      <c r="S284" s="76"/>
      <c r="T284" s="76"/>
      <c r="U284" s="76"/>
      <c r="V284" s="192"/>
      <c r="W284" s="192"/>
      <c r="X284" s="192"/>
      <c r="Y284" s="192"/>
      <c r="Z284" s="192"/>
      <c r="AA284" s="192"/>
      <c r="AB284" s="192"/>
      <c r="AC284" s="192"/>
      <c r="AD284" s="192"/>
    </row>
    <row r="285" spans="1:30">
      <c r="A285" s="191"/>
      <c r="B285" s="437"/>
      <c r="C285" s="420"/>
      <c r="D285" s="234"/>
      <c r="E285" s="223"/>
      <c r="F285" s="423"/>
      <c r="G285" s="30"/>
      <c r="H285" s="260"/>
      <c r="I285" s="282"/>
      <c r="J285" s="73"/>
      <c r="K285" s="72"/>
      <c r="L285" s="76"/>
      <c r="M285" s="76"/>
      <c r="N285" s="76"/>
      <c r="O285" s="76"/>
      <c r="P285" s="76"/>
      <c r="Q285" s="76"/>
      <c r="R285" s="76"/>
      <c r="S285" s="76"/>
      <c r="T285" s="76"/>
      <c r="U285" s="76"/>
      <c r="V285" s="192"/>
      <c r="W285" s="192"/>
      <c r="X285" s="192"/>
      <c r="Y285" s="192"/>
      <c r="Z285" s="192"/>
      <c r="AA285" s="192"/>
      <c r="AB285" s="192"/>
      <c r="AC285" s="192"/>
      <c r="AD285" s="192"/>
    </row>
    <row r="286" spans="1:30">
      <c r="A286" s="191"/>
      <c r="B286" s="437"/>
      <c r="C286" s="420"/>
      <c r="D286" s="236"/>
      <c r="E286" s="221"/>
      <c r="F286" s="424"/>
      <c r="G286" s="30"/>
      <c r="H286" s="260"/>
      <c r="I286" s="282"/>
      <c r="J286" s="73"/>
      <c r="K286" s="72"/>
      <c r="L286" s="76"/>
      <c r="M286" s="76"/>
      <c r="N286" s="76"/>
      <c r="O286" s="76"/>
      <c r="P286" s="76"/>
      <c r="Q286" s="76"/>
      <c r="R286" s="76"/>
      <c r="S286" s="76"/>
      <c r="T286" s="76"/>
      <c r="U286" s="76"/>
      <c r="V286" s="192"/>
      <c r="W286" s="192"/>
      <c r="X286" s="192"/>
      <c r="Y286" s="192"/>
      <c r="Z286" s="192"/>
      <c r="AA286" s="192"/>
      <c r="AB286" s="192"/>
      <c r="AC286" s="192"/>
      <c r="AD286" s="192"/>
    </row>
    <row r="287" spans="1:30">
      <c r="A287" s="191"/>
      <c r="B287" s="437"/>
      <c r="C287" s="420"/>
      <c r="D287" s="237"/>
      <c r="E287" s="220"/>
      <c r="F287" s="435"/>
      <c r="G287" s="218"/>
      <c r="H287" s="262"/>
      <c r="I287" s="284"/>
      <c r="J287" s="73"/>
      <c r="K287" s="76"/>
      <c r="L287" s="76"/>
      <c r="M287" s="76"/>
      <c r="N287" s="76"/>
      <c r="O287" s="76"/>
      <c r="P287" s="76"/>
      <c r="Q287" s="76"/>
      <c r="R287" s="76"/>
      <c r="S287" s="76"/>
      <c r="T287" s="76"/>
      <c r="U287" s="76"/>
      <c r="V287" s="192"/>
      <c r="W287" s="192"/>
      <c r="X287" s="192"/>
      <c r="Y287" s="192"/>
      <c r="Z287" s="192"/>
      <c r="AA287" s="192"/>
      <c r="AB287" s="192"/>
      <c r="AC287" s="192"/>
      <c r="AD287" s="192"/>
    </row>
    <row r="288" spans="1:30">
      <c r="A288" s="191"/>
      <c r="B288" s="437"/>
      <c r="C288" s="418"/>
      <c r="D288" s="234"/>
      <c r="E288" s="223"/>
      <c r="F288" s="423"/>
      <c r="G288" s="218"/>
      <c r="H288" s="262"/>
      <c r="I288" s="284"/>
      <c r="J288" s="73"/>
      <c r="K288" s="76"/>
      <c r="L288" s="76"/>
      <c r="M288" s="76"/>
      <c r="N288" s="76"/>
      <c r="O288" s="76"/>
      <c r="P288" s="76"/>
      <c r="Q288" s="76"/>
      <c r="R288" s="76"/>
      <c r="S288" s="76"/>
      <c r="T288" s="76"/>
      <c r="U288" s="76"/>
      <c r="V288" s="192"/>
      <c r="W288" s="192"/>
      <c r="X288" s="192"/>
      <c r="Y288" s="192"/>
      <c r="Z288" s="192"/>
      <c r="AA288" s="192"/>
      <c r="AB288" s="192"/>
      <c r="AC288" s="192"/>
      <c r="AD288" s="192"/>
    </row>
    <row r="289" spans="1:30">
      <c r="A289" s="191"/>
      <c r="B289" s="437"/>
      <c r="C289" s="336"/>
      <c r="D289" s="234"/>
      <c r="E289" s="223"/>
      <c r="F289" s="423"/>
      <c r="G289" s="218"/>
      <c r="H289" s="262"/>
      <c r="I289" s="284"/>
      <c r="J289" s="73"/>
      <c r="K289" s="76"/>
      <c r="L289" s="76"/>
      <c r="M289" s="76"/>
      <c r="N289" s="76"/>
      <c r="O289" s="76"/>
      <c r="P289" s="76"/>
      <c r="Q289" s="76"/>
      <c r="R289" s="76"/>
      <c r="S289" s="76"/>
      <c r="T289" s="76"/>
      <c r="U289" s="76"/>
      <c r="V289" s="192"/>
      <c r="W289" s="192"/>
      <c r="X289" s="192"/>
      <c r="Y289" s="192"/>
      <c r="Z289" s="192"/>
      <c r="AA289" s="192"/>
      <c r="AB289" s="192"/>
      <c r="AC289" s="192"/>
      <c r="AD289" s="192"/>
    </row>
    <row r="290" spans="1:30">
      <c r="A290" s="191"/>
      <c r="B290" s="438"/>
      <c r="C290" s="336"/>
      <c r="D290" s="236"/>
      <c r="E290" s="221"/>
      <c r="F290" s="424"/>
      <c r="G290" s="218"/>
      <c r="H290" s="262"/>
      <c r="I290" s="284"/>
      <c r="J290" s="73"/>
      <c r="K290" s="76"/>
      <c r="L290" s="76"/>
      <c r="M290" s="76"/>
      <c r="N290" s="76"/>
      <c r="O290" s="76"/>
      <c r="P290" s="76"/>
      <c r="Q290" s="76"/>
      <c r="R290" s="76"/>
      <c r="S290" s="76"/>
      <c r="T290" s="76"/>
      <c r="U290" s="76"/>
      <c r="V290" s="192"/>
      <c r="W290" s="192"/>
      <c r="X290" s="192"/>
      <c r="Y290" s="192"/>
      <c r="Z290" s="192"/>
      <c r="AA290" s="192"/>
      <c r="AB290" s="192"/>
      <c r="AC290" s="192"/>
      <c r="AD290" s="192"/>
    </row>
    <row r="291" spans="1:30">
      <c r="A291" s="191"/>
      <c r="B291" s="309"/>
      <c r="C291" s="336"/>
      <c r="D291" s="235"/>
      <c r="E291" s="386"/>
      <c r="F291" s="218"/>
      <c r="G291" s="218"/>
      <c r="H291" s="262"/>
      <c r="I291" s="284"/>
      <c r="J291" s="73"/>
      <c r="K291" s="76"/>
      <c r="L291" s="76"/>
      <c r="M291" s="76"/>
      <c r="N291" s="76"/>
      <c r="O291" s="76"/>
      <c r="P291" s="76"/>
      <c r="Q291" s="76"/>
      <c r="R291" s="76"/>
      <c r="S291" s="76"/>
      <c r="T291" s="76"/>
      <c r="U291" s="76"/>
      <c r="V291" s="192"/>
      <c r="W291" s="192"/>
      <c r="X291" s="192"/>
      <c r="Y291" s="192"/>
      <c r="Z291" s="192"/>
      <c r="AA291" s="192"/>
      <c r="AB291" s="192"/>
      <c r="AC291" s="192"/>
      <c r="AD291" s="192"/>
    </row>
    <row r="292" spans="1:30">
      <c r="A292" s="191"/>
      <c r="B292" s="309"/>
      <c r="C292" s="336"/>
      <c r="D292" s="235"/>
      <c r="E292" s="386"/>
      <c r="F292" s="218"/>
      <c r="G292" s="218"/>
      <c r="H292" s="262"/>
      <c r="I292" s="284"/>
      <c r="J292" s="73"/>
      <c r="K292" s="76"/>
      <c r="L292" s="76"/>
      <c r="M292" s="76"/>
      <c r="N292" s="76"/>
      <c r="O292" s="76"/>
      <c r="P292" s="76"/>
      <c r="Q292" s="76"/>
      <c r="R292" s="76"/>
      <c r="S292" s="76"/>
      <c r="T292" s="76"/>
      <c r="U292" s="76"/>
      <c r="V292" s="192"/>
      <c r="W292" s="192"/>
      <c r="X292" s="192"/>
      <c r="Y292" s="192"/>
      <c r="Z292" s="192"/>
      <c r="AA292" s="192"/>
      <c r="AB292" s="192"/>
      <c r="AC292" s="192"/>
      <c r="AD292" s="192"/>
    </row>
    <row r="293" spans="1:30">
      <c r="A293" s="191"/>
      <c r="B293" s="309"/>
      <c r="C293" s="336"/>
      <c r="D293" s="235"/>
      <c r="E293" s="386"/>
      <c r="F293" s="218"/>
      <c r="G293" s="218"/>
      <c r="H293" s="262"/>
      <c r="I293" s="284"/>
      <c r="J293" s="73"/>
      <c r="K293" s="76"/>
      <c r="L293" s="76"/>
      <c r="M293" s="76"/>
      <c r="N293" s="76"/>
      <c r="O293" s="76"/>
      <c r="P293" s="76"/>
      <c r="Q293" s="76"/>
      <c r="R293" s="76"/>
      <c r="S293" s="76"/>
      <c r="T293" s="76"/>
      <c r="U293" s="76"/>
      <c r="V293" s="192"/>
      <c r="W293" s="192"/>
      <c r="X293" s="192"/>
      <c r="Y293" s="192"/>
      <c r="Z293" s="192"/>
      <c r="AA293" s="192"/>
      <c r="AB293" s="192"/>
      <c r="AC293" s="192"/>
      <c r="AD293" s="192"/>
    </row>
    <row r="294" spans="1:30">
      <c r="A294" s="186"/>
      <c r="B294" s="309"/>
      <c r="C294" s="336"/>
      <c r="D294" s="235"/>
      <c r="E294" s="218"/>
      <c r="F294" s="218"/>
      <c r="G294" s="218"/>
      <c r="H294" s="262"/>
      <c r="I294" s="284"/>
      <c r="J294" s="73"/>
      <c r="K294" s="76"/>
      <c r="L294" s="76"/>
      <c r="M294" s="76"/>
      <c r="N294" s="94"/>
      <c r="O294" s="70"/>
      <c r="P294" s="70"/>
      <c r="Q294" s="70"/>
      <c r="R294" s="70"/>
      <c r="S294" s="70"/>
      <c r="T294" s="70"/>
      <c r="U294" s="70"/>
      <c r="V294" s="43"/>
      <c r="W294" s="43"/>
      <c r="X294" s="43"/>
      <c r="Y294" s="43"/>
      <c r="Z294" s="43"/>
      <c r="AA294" s="43"/>
      <c r="AB294" s="43"/>
      <c r="AC294" s="43"/>
      <c r="AD294" s="43"/>
    </row>
    <row r="295" spans="1:30">
      <c r="A295" s="186"/>
      <c r="B295" s="309"/>
      <c r="C295" s="336"/>
      <c r="D295" s="235"/>
      <c r="E295" s="218"/>
      <c r="F295" s="218"/>
      <c r="G295" s="218"/>
      <c r="H295" s="262"/>
      <c r="I295" s="284"/>
      <c r="J295" s="73"/>
      <c r="K295" s="76"/>
      <c r="L295" s="76"/>
      <c r="M295" s="76"/>
      <c r="N295" s="94"/>
      <c r="O295" s="70"/>
      <c r="P295" s="70"/>
      <c r="Q295" s="70"/>
      <c r="R295" s="70"/>
      <c r="S295" s="70"/>
      <c r="T295" s="70"/>
      <c r="U295" s="70"/>
      <c r="V295" s="43"/>
      <c r="W295" s="43"/>
      <c r="X295" s="43"/>
      <c r="Y295" s="43"/>
      <c r="Z295" s="43"/>
      <c r="AA295" s="43"/>
      <c r="AB295" s="43"/>
      <c r="AC295" s="43"/>
      <c r="AD295" s="43"/>
    </row>
    <row r="296" spans="1:30">
      <c r="A296" s="186"/>
      <c r="B296" s="309"/>
      <c r="C296" s="336"/>
      <c r="D296" s="235"/>
      <c r="E296" s="218"/>
      <c r="F296" s="218"/>
      <c r="G296" s="218"/>
      <c r="H296" s="262"/>
      <c r="I296" s="284"/>
      <c r="J296" s="73"/>
      <c r="K296" s="76"/>
      <c r="L296" s="76"/>
      <c r="M296" s="76"/>
      <c r="N296" s="94"/>
      <c r="O296" s="70"/>
      <c r="P296" s="70"/>
      <c r="Q296" s="70"/>
      <c r="R296" s="70"/>
      <c r="S296" s="70"/>
      <c r="T296" s="70"/>
      <c r="U296" s="70"/>
      <c r="V296" s="43"/>
      <c r="W296" s="43"/>
      <c r="X296" s="43"/>
      <c r="Y296" s="43"/>
      <c r="Z296" s="43"/>
      <c r="AA296" s="43"/>
      <c r="AB296" s="43"/>
      <c r="AC296" s="43"/>
      <c r="AD296" s="43"/>
    </row>
    <row r="297" spans="1:30">
      <c r="A297" s="186"/>
      <c r="B297" s="309"/>
      <c r="C297" s="336"/>
      <c r="D297" s="235"/>
      <c r="E297" s="218"/>
      <c r="F297" s="218"/>
      <c r="G297" s="218"/>
      <c r="H297" s="262"/>
      <c r="I297" s="284"/>
      <c r="J297" s="73"/>
      <c r="K297" s="76"/>
      <c r="L297" s="76"/>
      <c r="M297" s="76"/>
      <c r="N297" s="94"/>
      <c r="O297" s="70"/>
      <c r="P297" s="70"/>
      <c r="Q297" s="70"/>
      <c r="R297" s="70"/>
      <c r="S297" s="70"/>
      <c r="T297" s="70"/>
      <c r="U297" s="70"/>
      <c r="V297" s="43"/>
      <c r="W297" s="43"/>
      <c r="X297" s="43"/>
      <c r="Y297" s="43"/>
      <c r="Z297" s="43"/>
      <c r="AA297" s="43"/>
      <c r="AB297" s="43"/>
      <c r="AC297" s="43"/>
      <c r="AD297" s="43"/>
    </row>
    <row r="298" spans="1:30">
      <c r="A298" s="186"/>
      <c r="B298" s="309"/>
      <c r="C298" s="336"/>
      <c r="D298" s="235"/>
      <c r="E298" s="218"/>
      <c r="F298" s="218"/>
      <c r="G298" s="218"/>
      <c r="H298" s="262"/>
      <c r="I298" s="284"/>
      <c r="J298" s="73"/>
      <c r="K298" s="76"/>
      <c r="L298" s="76"/>
      <c r="M298" s="76"/>
      <c r="N298" s="94"/>
      <c r="O298" s="70"/>
      <c r="P298" s="70"/>
      <c r="Q298" s="70"/>
      <c r="R298" s="70"/>
      <c r="S298" s="70"/>
      <c r="T298" s="70"/>
      <c r="U298" s="70"/>
      <c r="V298" s="43"/>
      <c r="W298" s="43"/>
      <c r="X298" s="43"/>
      <c r="Y298" s="43"/>
      <c r="Z298" s="43"/>
      <c r="AA298" s="43"/>
      <c r="AB298" s="43"/>
      <c r="AC298" s="43"/>
      <c r="AD298" s="43"/>
    </row>
    <row r="299" spans="1:30">
      <c r="A299" s="186"/>
      <c r="B299" s="309"/>
      <c r="C299" s="336"/>
      <c r="D299" s="235"/>
      <c r="E299" s="218"/>
      <c r="F299" s="218"/>
      <c r="G299" s="218"/>
      <c r="H299" s="262"/>
      <c r="I299" s="284"/>
      <c r="J299" s="73"/>
      <c r="K299" s="76"/>
      <c r="L299" s="76"/>
      <c r="M299" s="76"/>
      <c r="N299" s="94"/>
      <c r="O299" s="70"/>
      <c r="P299" s="70"/>
      <c r="Q299" s="70"/>
      <c r="R299" s="70"/>
      <c r="S299" s="70"/>
      <c r="T299" s="70"/>
      <c r="U299" s="70"/>
      <c r="V299" s="43"/>
      <c r="W299" s="43"/>
      <c r="X299" s="43"/>
      <c r="Y299" s="43"/>
      <c r="Z299" s="43"/>
      <c r="AA299" s="43"/>
      <c r="AB299" s="43"/>
      <c r="AC299" s="43"/>
      <c r="AD299" s="43"/>
    </row>
    <row r="300" spans="1:30">
      <c r="A300" s="186"/>
      <c r="B300" s="309"/>
      <c r="C300" s="336"/>
      <c r="D300" s="235"/>
      <c r="E300" s="218"/>
      <c r="F300" s="218"/>
      <c r="G300" s="218"/>
      <c r="H300" s="262"/>
      <c r="I300" s="284"/>
      <c r="J300" s="73"/>
      <c r="K300" s="76"/>
      <c r="L300" s="76"/>
      <c r="M300" s="76"/>
      <c r="N300" s="94"/>
      <c r="O300" s="70"/>
      <c r="P300" s="70"/>
      <c r="Q300" s="70"/>
      <c r="R300" s="70"/>
      <c r="S300" s="70"/>
      <c r="T300" s="70"/>
      <c r="U300" s="70"/>
      <c r="V300" s="43"/>
      <c r="W300" s="43"/>
      <c r="X300" s="43"/>
      <c r="Y300" s="43"/>
      <c r="Z300" s="43"/>
      <c r="AA300" s="43"/>
      <c r="AB300" s="43"/>
      <c r="AC300" s="43"/>
      <c r="AD300" s="43"/>
    </row>
    <row r="301" spans="1:30">
      <c r="A301" s="186"/>
      <c r="B301" s="309"/>
      <c r="C301" s="341"/>
      <c r="D301" s="235"/>
      <c r="E301" s="218"/>
      <c r="F301" s="218"/>
      <c r="G301" s="218"/>
      <c r="H301" s="262"/>
      <c r="I301" s="284"/>
      <c r="J301" s="73"/>
      <c r="K301" s="76"/>
      <c r="L301" s="76"/>
      <c r="M301" s="76"/>
      <c r="N301" s="94"/>
      <c r="O301" s="70"/>
      <c r="P301" s="70"/>
      <c r="Q301" s="70"/>
      <c r="R301" s="70"/>
      <c r="S301" s="70"/>
      <c r="T301" s="70"/>
      <c r="U301" s="70"/>
      <c r="V301" s="43"/>
      <c r="W301" s="43"/>
      <c r="X301" s="43"/>
      <c r="Y301" s="43"/>
      <c r="Z301" s="43"/>
      <c r="AA301" s="43"/>
      <c r="AB301" s="43"/>
      <c r="AC301" s="43"/>
      <c r="AD301" s="43"/>
    </row>
    <row r="302" spans="1:30">
      <c r="A302" s="186"/>
      <c r="B302" s="309"/>
      <c r="C302" s="341"/>
      <c r="D302" s="235"/>
      <c r="E302" s="218"/>
      <c r="F302" s="218"/>
      <c r="G302" s="218"/>
      <c r="H302" s="262"/>
      <c r="I302" s="284"/>
      <c r="J302" s="95"/>
      <c r="K302" s="76"/>
      <c r="L302" s="94"/>
      <c r="M302" s="76"/>
      <c r="N302" s="94"/>
      <c r="O302" s="70"/>
      <c r="P302" s="70"/>
      <c r="Q302" s="70"/>
      <c r="R302" s="70"/>
      <c r="S302" s="70"/>
      <c r="T302" s="70"/>
      <c r="U302" s="70"/>
      <c r="V302" s="43"/>
      <c r="W302" s="43"/>
      <c r="X302" s="43"/>
      <c r="Y302" s="43"/>
      <c r="Z302" s="43"/>
      <c r="AA302" s="43"/>
      <c r="AB302" s="43"/>
      <c r="AC302" s="43"/>
      <c r="AD302" s="43"/>
    </row>
    <row r="303" spans="1:30">
      <c r="A303" s="193"/>
      <c r="B303" s="314"/>
      <c r="C303" s="341"/>
      <c r="D303" s="167"/>
      <c r="E303" s="59"/>
      <c r="F303" s="59"/>
      <c r="G303" s="59"/>
      <c r="H303" s="271"/>
      <c r="I303" s="293"/>
      <c r="J303" s="95"/>
      <c r="K303" s="94"/>
      <c r="L303" s="94"/>
      <c r="M303" s="94"/>
      <c r="N303" s="94"/>
      <c r="O303" s="70"/>
      <c r="P303" s="70"/>
      <c r="Q303" s="70"/>
      <c r="R303" s="70"/>
      <c r="S303" s="70"/>
      <c r="T303" s="70"/>
      <c r="U303" s="70"/>
      <c r="V303" s="43"/>
      <c r="W303" s="43"/>
      <c r="X303" s="43"/>
      <c r="Y303" s="43"/>
      <c r="Z303" s="43"/>
      <c r="AA303" s="43"/>
      <c r="AB303" s="43"/>
      <c r="AC303" s="43"/>
      <c r="AD303" s="43"/>
    </row>
    <row r="304" spans="1:30">
      <c r="A304" s="193"/>
      <c r="B304" s="314"/>
      <c r="C304" s="341"/>
      <c r="D304" s="167"/>
      <c r="E304" s="59"/>
      <c r="F304" s="59"/>
      <c r="G304" s="59"/>
      <c r="H304" s="271"/>
      <c r="I304" s="293"/>
      <c r="J304" s="95"/>
      <c r="K304" s="94"/>
      <c r="L304" s="94"/>
      <c r="M304" s="94"/>
      <c r="N304" s="94"/>
      <c r="O304" s="70"/>
      <c r="P304" s="70"/>
      <c r="Q304" s="70"/>
      <c r="R304" s="70"/>
      <c r="S304" s="70"/>
      <c r="T304" s="70"/>
      <c r="U304" s="70"/>
      <c r="V304" s="43"/>
      <c r="W304" s="43"/>
      <c r="X304" s="43"/>
      <c r="Y304" s="43"/>
      <c r="Z304" s="43"/>
      <c r="AA304" s="43"/>
      <c r="AB304" s="43"/>
      <c r="AC304" s="43"/>
      <c r="AD304" s="43"/>
    </row>
    <row r="305" spans="1:30">
      <c r="A305" s="193"/>
      <c r="B305" s="314"/>
      <c r="C305" s="341"/>
      <c r="D305" s="167"/>
      <c r="E305" s="59"/>
      <c r="F305" s="59"/>
      <c r="G305" s="59"/>
      <c r="H305" s="271"/>
      <c r="I305" s="293"/>
      <c r="J305" s="95"/>
      <c r="K305" s="94"/>
      <c r="L305" s="94"/>
      <c r="M305" s="94"/>
      <c r="N305" s="94"/>
      <c r="O305" s="70"/>
      <c r="P305" s="70"/>
      <c r="Q305" s="70"/>
      <c r="R305" s="70"/>
      <c r="S305" s="70"/>
      <c r="T305" s="70"/>
      <c r="U305" s="70"/>
      <c r="V305" s="43"/>
      <c r="W305" s="43"/>
      <c r="X305" s="43"/>
      <c r="Y305" s="43"/>
      <c r="Z305" s="43"/>
      <c r="AA305" s="43"/>
      <c r="AB305" s="43"/>
      <c r="AC305" s="43"/>
      <c r="AD305" s="43"/>
    </row>
    <row r="306" spans="1:30">
      <c r="A306" s="193"/>
      <c r="B306" s="314"/>
      <c r="C306" s="341"/>
      <c r="D306" s="167"/>
      <c r="E306" s="59"/>
      <c r="F306" s="59"/>
      <c r="G306" s="59"/>
      <c r="H306" s="271"/>
      <c r="I306" s="293"/>
      <c r="J306" s="95"/>
      <c r="K306" s="94"/>
      <c r="L306" s="94"/>
      <c r="M306" s="94"/>
      <c r="N306" s="94"/>
      <c r="O306" s="70"/>
      <c r="P306" s="70"/>
      <c r="Q306" s="70"/>
      <c r="R306" s="70"/>
      <c r="S306" s="70"/>
      <c r="T306" s="70"/>
      <c r="U306" s="70"/>
      <c r="V306" s="43"/>
      <c r="W306" s="43"/>
      <c r="X306" s="43"/>
      <c r="Y306" s="43"/>
      <c r="Z306" s="43"/>
      <c r="AA306" s="43"/>
      <c r="AB306" s="43"/>
      <c r="AC306" s="43"/>
      <c r="AD306" s="43"/>
    </row>
    <row r="307" spans="1:30">
      <c r="A307" s="193"/>
      <c r="B307" s="314"/>
      <c r="C307" s="341"/>
      <c r="D307" s="167"/>
      <c r="E307" s="59"/>
      <c r="F307" s="59"/>
      <c r="G307" s="59"/>
      <c r="H307" s="271"/>
      <c r="I307" s="293"/>
      <c r="J307" s="95"/>
      <c r="K307" s="94"/>
      <c r="L307" s="94"/>
      <c r="M307" s="94"/>
      <c r="N307" s="94"/>
      <c r="O307" s="70"/>
      <c r="P307" s="70"/>
      <c r="Q307" s="70"/>
      <c r="R307" s="70"/>
      <c r="S307" s="70"/>
      <c r="T307" s="70"/>
      <c r="U307" s="70"/>
      <c r="V307" s="43"/>
      <c r="W307" s="43"/>
      <c r="X307" s="43"/>
      <c r="Y307" s="43"/>
      <c r="Z307" s="43"/>
      <c r="AA307" s="43"/>
      <c r="AB307" s="43"/>
      <c r="AC307" s="43"/>
      <c r="AD307" s="43"/>
    </row>
    <row r="308" spans="1:30">
      <c r="A308" s="193"/>
      <c r="B308" s="314"/>
      <c r="C308" s="341"/>
      <c r="D308" s="167"/>
      <c r="E308" s="59"/>
      <c r="F308" s="59"/>
      <c r="G308" s="59"/>
      <c r="H308" s="271"/>
      <c r="I308" s="293"/>
      <c r="J308" s="95"/>
      <c r="K308" s="94"/>
      <c r="L308" s="94"/>
      <c r="M308" s="94"/>
      <c r="N308" s="94"/>
      <c r="O308" s="70"/>
      <c r="P308" s="70"/>
      <c r="Q308" s="70"/>
      <c r="R308" s="70"/>
      <c r="S308" s="70"/>
      <c r="T308" s="70"/>
      <c r="U308" s="70"/>
      <c r="V308" s="43"/>
      <c r="W308" s="43"/>
      <c r="X308" s="43"/>
      <c r="Y308" s="43"/>
      <c r="Z308" s="43"/>
      <c r="AA308" s="43"/>
      <c r="AB308" s="43"/>
      <c r="AC308" s="43"/>
      <c r="AD308" s="43"/>
    </row>
    <row r="309" spans="1:30">
      <c r="A309" s="193"/>
      <c r="B309" s="314"/>
      <c r="C309" s="341"/>
      <c r="D309" s="167"/>
      <c r="E309" s="59"/>
      <c r="F309" s="59"/>
      <c r="G309" s="59"/>
      <c r="H309" s="271"/>
      <c r="I309" s="293"/>
      <c r="J309" s="95"/>
      <c r="K309" s="94"/>
      <c r="L309" s="94"/>
      <c r="M309" s="94"/>
      <c r="N309" s="94"/>
      <c r="O309" s="70"/>
      <c r="P309" s="70"/>
      <c r="Q309" s="70"/>
      <c r="R309" s="70"/>
      <c r="S309" s="70"/>
      <c r="T309" s="70"/>
      <c r="U309" s="70"/>
      <c r="V309" s="43"/>
      <c r="W309" s="43"/>
      <c r="X309" s="43"/>
      <c r="Y309" s="43"/>
      <c r="Z309" s="43"/>
      <c r="AA309" s="43"/>
      <c r="AB309" s="43"/>
      <c r="AC309" s="43"/>
      <c r="AD309" s="43"/>
    </row>
    <row r="310" spans="1:30">
      <c r="A310" s="194"/>
      <c r="B310" s="314"/>
      <c r="C310" s="341"/>
      <c r="D310" s="167"/>
      <c r="E310" s="231"/>
      <c r="F310" s="59"/>
      <c r="G310" s="59"/>
      <c r="H310" s="271"/>
      <c r="I310" s="293"/>
      <c r="J310" s="95"/>
      <c r="K310" s="94"/>
      <c r="L310" s="94"/>
      <c r="M310" s="94"/>
      <c r="N310" s="94"/>
      <c r="O310" s="94"/>
      <c r="P310" s="94"/>
      <c r="Q310" s="94"/>
      <c r="R310" s="94"/>
      <c r="S310" s="94"/>
      <c r="T310" s="94"/>
      <c r="U310" s="94"/>
      <c r="V310" s="195"/>
      <c r="W310" s="195"/>
      <c r="X310" s="195"/>
      <c r="Y310" s="195"/>
      <c r="Z310" s="195"/>
      <c r="AA310" s="195"/>
      <c r="AB310" s="195"/>
      <c r="AC310" s="195"/>
      <c r="AD310" s="195"/>
    </row>
    <row r="311" spans="1:30">
      <c r="A311" s="194"/>
      <c r="B311" s="314"/>
      <c r="C311" s="341"/>
      <c r="D311" s="167"/>
      <c r="E311" s="231"/>
      <c r="F311" s="59"/>
      <c r="G311" s="59"/>
      <c r="H311" s="271"/>
      <c r="I311" s="293"/>
      <c r="J311" s="95"/>
      <c r="K311" s="94"/>
      <c r="L311" s="94"/>
      <c r="M311" s="94"/>
      <c r="N311" s="94"/>
      <c r="O311" s="94"/>
      <c r="P311" s="94"/>
      <c r="Q311" s="94"/>
      <c r="R311" s="94"/>
      <c r="S311" s="94"/>
      <c r="T311" s="94"/>
      <c r="U311" s="94"/>
      <c r="V311" s="195"/>
      <c r="W311" s="195"/>
      <c r="X311" s="195"/>
      <c r="Y311" s="195"/>
      <c r="Z311" s="195"/>
      <c r="AA311" s="195"/>
      <c r="AB311" s="195"/>
      <c r="AC311" s="195"/>
      <c r="AD311" s="195"/>
    </row>
    <row r="312" spans="1:30">
      <c r="A312" s="194"/>
      <c r="B312" s="314"/>
      <c r="C312" s="341"/>
      <c r="D312" s="167"/>
      <c r="E312" s="231"/>
      <c r="F312" s="59"/>
      <c r="G312" s="59"/>
      <c r="H312" s="271"/>
      <c r="I312" s="293"/>
      <c r="J312" s="95"/>
      <c r="K312" s="94"/>
      <c r="L312" s="94"/>
      <c r="M312" s="94"/>
      <c r="N312" s="94"/>
      <c r="O312" s="94"/>
      <c r="P312" s="94"/>
      <c r="Q312" s="94"/>
      <c r="R312" s="94"/>
      <c r="S312" s="94"/>
      <c r="T312" s="94"/>
      <c r="U312" s="94"/>
      <c r="V312" s="195"/>
      <c r="W312" s="195"/>
      <c r="X312" s="195"/>
      <c r="Y312" s="195"/>
      <c r="Z312" s="195"/>
      <c r="AA312" s="195"/>
      <c r="AB312" s="195"/>
      <c r="AC312" s="195"/>
      <c r="AD312" s="195"/>
    </row>
    <row r="313" spans="1:30">
      <c r="A313" s="194"/>
      <c r="B313" s="314"/>
      <c r="C313" s="341"/>
      <c r="D313" s="167"/>
      <c r="E313" s="231"/>
      <c r="F313" s="59"/>
      <c r="G313" s="59"/>
      <c r="H313" s="271"/>
      <c r="I313" s="293"/>
      <c r="J313" s="95"/>
      <c r="K313" s="94"/>
      <c r="L313" s="94"/>
      <c r="M313" s="94"/>
      <c r="N313" s="94"/>
      <c r="O313" s="94"/>
      <c r="P313" s="94"/>
      <c r="Q313" s="94"/>
      <c r="R313" s="94"/>
      <c r="S313" s="94"/>
      <c r="T313" s="94"/>
      <c r="U313" s="94"/>
      <c r="V313" s="195"/>
      <c r="W313" s="195"/>
      <c r="X313" s="195"/>
      <c r="Y313" s="195"/>
      <c r="Z313" s="195"/>
      <c r="AA313" s="195"/>
      <c r="AB313" s="195"/>
      <c r="AC313" s="195"/>
      <c r="AD313" s="195"/>
    </row>
    <row r="314" spans="1:30">
      <c r="A314" s="194"/>
      <c r="B314" s="314"/>
      <c r="C314" s="341"/>
      <c r="D314" s="167"/>
      <c r="E314" s="231"/>
      <c r="F314" s="59"/>
      <c r="G314" s="59"/>
      <c r="H314" s="271"/>
      <c r="I314" s="293"/>
      <c r="J314" s="95"/>
      <c r="K314" s="94"/>
      <c r="L314" s="94"/>
      <c r="M314" s="94"/>
      <c r="N314" s="94"/>
      <c r="O314" s="94"/>
      <c r="P314" s="94"/>
      <c r="Q314" s="94"/>
      <c r="R314" s="94"/>
      <c r="S314" s="94"/>
      <c r="T314" s="94"/>
      <c r="U314" s="94"/>
      <c r="V314" s="195"/>
      <c r="W314" s="195"/>
      <c r="X314" s="195"/>
      <c r="Y314" s="195"/>
      <c r="Z314" s="195"/>
      <c r="AA314" s="195"/>
      <c r="AB314" s="195"/>
      <c r="AC314" s="195"/>
      <c r="AD314" s="195"/>
    </row>
    <row r="315" spans="1:30">
      <c r="A315" s="194"/>
      <c r="B315" s="314"/>
      <c r="C315" s="341"/>
      <c r="D315" s="167"/>
      <c r="E315" s="231"/>
      <c r="F315" s="59"/>
      <c r="G315" s="59"/>
      <c r="H315" s="271"/>
      <c r="I315" s="293"/>
      <c r="J315" s="95"/>
      <c r="K315" s="94"/>
      <c r="L315" s="94"/>
      <c r="M315" s="94"/>
      <c r="N315" s="94"/>
      <c r="O315" s="94"/>
      <c r="P315" s="94"/>
      <c r="Q315" s="94"/>
      <c r="R315" s="94"/>
      <c r="S315" s="94"/>
      <c r="T315" s="94"/>
      <c r="U315" s="94"/>
      <c r="V315" s="195"/>
      <c r="W315" s="195"/>
      <c r="X315" s="195"/>
      <c r="Y315" s="195"/>
      <c r="Z315" s="195"/>
      <c r="AA315" s="195"/>
      <c r="AB315" s="195"/>
      <c r="AC315" s="195"/>
      <c r="AD315" s="195"/>
    </row>
    <row r="316" spans="1:30">
      <c r="A316" s="194"/>
      <c r="B316" s="314"/>
      <c r="C316" s="341"/>
      <c r="D316" s="167"/>
      <c r="E316" s="231"/>
      <c r="F316" s="59"/>
      <c r="G316" s="59"/>
      <c r="H316" s="271"/>
      <c r="I316" s="293"/>
      <c r="J316" s="95"/>
      <c r="K316" s="94"/>
      <c r="L316" s="94"/>
      <c r="M316" s="94"/>
      <c r="N316" s="94"/>
      <c r="O316" s="94"/>
      <c r="P316" s="94"/>
      <c r="Q316" s="94"/>
      <c r="R316" s="94"/>
      <c r="S316" s="94"/>
      <c r="T316" s="94"/>
      <c r="U316" s="94"/>
      <c r="V316" s="195"/>
      <c r="W316" s="195"/>
      <c r="X316" s="195"/>
      <c r="Y316" s="195"/>
      <c r="Z316" s="195"/>
      <c r="AA316" s="195"/>
      <c r="AB316" s="195"/>
      <c r="AC316" s="195"/>
      <c r="AD316" s="195"/>
    </row>
    <row r="317" spans="1:30">
      <c r="A317" s="194"/>
      <c r="B317" s="314"/>
      <c r="C317" s="341"/>
      <c r="D317" s="167"/>
      <c r="E317" s="231"/>
      <c r="F317" s="59"/>
      <c r="G317" s="59"/>
      <c r="H317" s="271"/>
      <c r="I317" s="293"/>
      <c r="J317" s="95"/>
      <c r="K317" s="94"/>
      <c r="L317" s="94"/>
      <c r="M317" s="94"/>
      <c r="N317" s="94"/>
      <c r="O317" s="94"/>
      <c r="P317" s="94"/>
      <c r="Q317" s="94"/>
      <c r="R317" s="94"/>
      <c r="S317" s="94"/>
      <c r="T317" s="94"/>
      <c r="U317" s="94"/>
      <c r="V317" s="195"/>
      <c r="W317" s="195"/>
      <c r="X317" s="195"/>
      <c r="Y317" s="195"/>
      <c r="Z317" s="195"/>
      <c r="AA317" s="195"/>
      <c r="AB317" s="195"/>
      <c r="AC317" s="195"/>
      <c r="AD317" s="195"/>
    </row>
    <row r="318" spans="1:30">
      <c r="A318" s="194"/>
      <c r="B318" s="314"/>
      <c r="C318" s="341"/>
      <c r="D318" s="167"/>
      <c r="E318" s="231"/>
      <c r="F318" s="59"/>
      <c r="G318" s="59"/>
      <c r="H318" s="271"/>
      <c r="I318" s="293"/>
      <c r="J318" s="95"/>
      <c r="K318" s="94"/>
      <c r="L318" s="94"/>
      <c r="M318" s="94"/>
      <c r="N318" s="94"/>
      <c r="O318" s="94"/>
      <c r="P318" s="94"/>
      <c r="Q318" s="94"/>
      <c r="R318" s="94"/>
      <c r="S318" s="94"/>
      <c r="T318" s="94"/>
      <c r="U318" s="94"/>
      <c r="V318" s="195"/>
      <c r="W318" s="195"/>
      <c r="X318" s="195"/>
      <c r="Y318" s="195"/>
      <c r="Z318" s="195"/>
      <c r="AA318" s="195"/>
      <c r="AB318" s="195"/>
      <c r="AC318" s="195"/>
      <c r="AD318" s="195"/>
    </row>
    <row r="319" spans="1:30">
      <c r="A319" s="194"/>
      <c r="B319" s="314"/>
      <c r="C319" s="341"/>
      <c r="D319" s="167"/>
      <c r="E319" s="231"/>
      <c r="F319" s="59"/>
      <c r="G319" s="59"/>
      <c r="H319" s="271"/>
      <c r="I319" s="293"/>
      <c r="J319" s="95"/>
      <c r="K319" s="94"/>
      <c r="L319" s="94"/>
      <c r="M319" s="94"/>
      <c r="N319" s="94"/>
      <c r="O319" s="94"/>
      <c r="P319" s="94"/>
      <c r="Q319" s="94"/>
      <c r="R319" s="94"/>
      <c r="S319" s="94"/>
      <c r="T319" s="94"/>
      <c r="U319" s="94"/>
      <c r="V319" s="195"/>
      <c r="W319" s="195"/>
      <c r="X319" s="195"/>
      <c r="Y319" s="195"/>
      <c r="Z319" s="195"/>
      <c r="AA319" s="195"/>
      <c r="AB319" s="195"/>
      <c r="AC319" s="195"/>
      <c r="AD319" s="195"/>
    </row>
    <row r="320" spans="1:30">
      <c r="A320" s="194"/>
      <c r="B320" s="314"/>
      <c r="C320" s="341"/>
      <c r="D320" s="167"/>
      <c r="E320" s="231"/>
      <c r="F320" s="59"/>
      <c r="G320" s="59"/>
      <c r="H320" s="271"/>
      <c r="I320" s="293"/>
      <c r="J320" s="95"/>
      <c r="K320" s="94"/>
      <c r="L320" s="94"/>
      <c r="M320" s="94"/>
      <c r="N320" s="94"/>
      <c r="O320" s="94"/>
      <c r="P320" s="94"/>
      <c r="Q320" s="94"/>
      <c r="R320" s="94"/>
      <c r="S320" s="94"/>
      <c r="T320" s="94"/>
      <c r="U320" s="94"/>
      <c r="V320" s="195"/>
      <c r="W320" s="195"/>
      <c r="X320" s="195"/>
      <c r="Y320" s="195"/>
      <c r="Z320" s="195"/>
      <c r="AA320" s="195"/>
      <c r="AB320" s="195"/>
      <c r="AC320" s="195"/>
      <c r="AD320" s="195"/>
    </row>
    <row r="321" spans="1:30">
      <c r="A321" s="194"/>
      <c r="B321" s="314"/>
      <c r="C321" s="341"/>
      <c r="D321" s="167"/>
      <c r="E321" s="231"/>
      <c r="F321" s="59"/>
      <c r="G321" s="59"/>
      <c r="H321" s="271"/>
      <c r="I321" s="293"/>
      <c r="J321" s="95"/>
      <c r="K321" s="94"/>
      <c r="L321" s="94"/>
      <c r="M321" s="94"/>
      <c r="N321" s="94"/>
      <c r="O321" s="94"/>
      <c r="P321" s="94"/>
      <c r="Q321" s="94"/>
      <c r="R321" s="94"/>
      <c r="S321" s="94"/>
      <c r="T321" s="94"/>
      <c r="U321" s="94"/>
      <c r="V321" s="195"/>
      <c r="W321" s="195"/>
      <c r="X321" s="195"/>
      <c r="Y321" s="195"/>
      <c r="Z321" s="195"/>
      <c r="AA321" s="195"/>
      <c r="AB321" s="195"/>
      <c r="AC321" s="195"/>
      <c r="AD321" s="195"/>
    </row>
    <row r="322" spans="1:30">
      <c r="A322" s="194"/>
      <c r="B322" s="314"/>
      <c r="C322" s="341"/>
      <c r="D322" s="167"/>
      <c r="E322" s="231"/>
      <c r="F322" s="59"/>
      <c r="G322" s="59"/>
      <c r="H322" s="271"/>
      <c r="I322" s="293"/>
      <c r="J322" s="95"/>
      <c r="K322" s="94"/>
      <c r="L322" s="94"/>
      <c r="M322" s="94"/>
      <c r="N322" s="94"/>
      <c r="O322" s="94"/>
      <c r="P322" s="94"/>
      <c r="Q322" s="94"/>
      <c r="R322" s="94"/>
      <c r="S322" s="94"/>
      <c r="T322" s="94"/>
      <c r="U322" s="94"/>
      <c r="V322" s="195"/>
      <c r="W322" s="195"/>
      <c r="X322" s="195"/>
      <c r="Y322" s="195"/>
      <c r="Z322" s="195"/>
      <c r="AA322" s="195"/>
      <c r="AB322" s="195"/>
      <c r="AC322" s="195"/>
      <c r="AD322" s="195"/>
    </row>
    <row r="323" spans="1:30">
      <c r="A323" s="194"/>
      <c r="B323" s="314"/>
      <c r="C323" s="341"/>
      <c r="D323" s="167"/>
      <c r="E323" s="231"/>
      <c r="F323" s="59"/>
      <c r="G323" s="59"/>
      <c r="H323" s="271"/>
      <c r="I323" s="293"/>
      <c r="J323" s="95"/>
      <c r="K323" s="94"/>
      <c r="L323" s="94"/>
      <c r="M323" s="94"/>
      <c r="N323" s="94"/>
      <c r="O323" s="94"/>
      <c r="P323" s="94"/>
      <c r="Q323" s="94"/>
      <c r="R323" s="94"/>
      <c r="S323" s="94"/>
      <c r="T323" s="94"/>
      <c r="U323" s="94"/>
      <c r="V323" s="195"/>
      <c r="W323" s="195"/>
      <c r="X323" s="195"/>
      <c r="Y323" s="195"/>
      <c r="Z323" s="195"/>
      <c r="AA323" s="195"/>
      <c r="AB323" s="195"/>
      <c r="AC323" s="195"/>
      <c r="AD323" s="195"/>
    </row>
    <row r="324" spans="1:30">
      <c r="A324" s="194"/>
      <c r="B324" s="314"/>
      <c r="C324" s="341"/>
      <c r="D324" s="167"/>
      <c r="E324" s="231"/>
      <c r="F324" s="59"/>
      <c r="G324" s="59"/>
      <c r="H324" s="271"/>
      <c r="I324" s="293"/>
      <c r="J324" s="95"/>
      <c r="K324" s="94"/>
      <c r="L324" s="94"/>
      <c r="M324" s="94"/>
      <c r="N324" s="94"/>
      <c r="O324" s="94"/>
      <c r="P324" s="94"/>
      <c r="Q324" s="94"/>
      <c r="R324" s="94"/>
      <c r="S324" s="94"/>
      <c r="T324" s="94"/>
      <c r="U324" s="94"/>
      <c r="V324" s="195"/>
      <c r="W324" s="195"/>
      <c r="X324" s="195"/>
      <c r="Y324" s="195"/>
      <c r="Z324" s="195"/>
      <c r="AA324" s="195"/>
      <c r="AB324" s="195"/>
      <c r="AC324" s="195"/>
      <c r="AD324" s="195"/>
    </row>
    <row r="325" spans="1:30">
      <c r="A325" s="194"/>
      <c r="B325" s="314"/>
      <c r="C325" s="341"/>
      <c r="D325" s="167"/>
      <c r="E325" s="231"/>
      <c r="F325" s="59"/>
      <c r="G325" s="59"/>
      <c r="H325" s="271"/>
      <c r="I325" s="293"/>
      <c r="J325" s="95"/>
      <c r="K325" s="94"/>
      <c r="L325" s="94"/>
      <c r="M325" s="94"/>
      <c r="N325" s="94"/>
      <c r="O325" s="94"/>
      <c r="P325" s="94"/>
      <c r="Q325" s="94"/>
      <c r="R325" s="94"/>
      <c r="S325" s="94"/>
      <c r="T325" s="94"/>
      <c r="U325" s="94"/>
      <c r="V325" s="195"/>
      <c r="W325" s="195"/>
      <c r="X325" s="195"/>
      <c r="Y325" s="195"/>
      <c r="Z325" s="195"/>
      <c r="AA325" s="195"/>
      <c r="AB325" s="195"/>
      <c r="AC325" s="195"/>
      <c r="AD325" s="195"/>
    </row>
    <row r="326" spans="1:30">
      <c r="A326" s="194"/>
      <c r="B326" s="314"/>
      <c r="C326" s="341"/>
      <c r="D326" s="167"/>
      <c r="E326" s="231"/>
      <c r="F326" s="59"/>
      <c r="G326" s="59"/>
      <c r="H326" s="271"/>
      <c r="I326" s="293"/>
      <c r="J326" s="95"/>
      <c r="K326" s="94"/>
      <c r="L326" s="94"/>
      <c r="M326" s="94"/>
      <c r="N326" s="94"/>
      <c r="O326" s="94"/>
      <c r="P326" s="94"/>
      <c r="Q326" s="94"/>
      <c r="R326" s="94"/>
      <c r="S326" s="94"/>
      <c r="T326" s="94"/>
      <c r="U326" s="94"/>
      <c r="V326" s="195"/>
      <c r="W326" s="195"/>
      <c r="X326" s="195"/>
      <c r="Y326" s="195"/>
      <c r="Z326" s="195"/>
      <c r="AA326" s="195"/>
      <c r="AB326" s="195"/>
      <c r="AC326" s="195"/>
      <c r="AD326" s="195"/>
    </row>
    <row r="327" spans="1:30">
      <c r="A327" s="194"/>
      <c r="B327" s="314"/>
      <c r="C327" s="341"/>
      <c r="D327" s="167"/>
      <c r="E327" s="231"/>
      <c r="F327" s="59"/>
      <c r="G327" s="59"/>
      <c r="H327" s="271"/>
      <c r="I327" s="293"/>
      <c r="J327" s="95"/>
      <c r="K327" s="94"/>
      <c r="L327" s="94"/>
      <c r="M327" s="94"/>
      <c r="N327" s="94"/>
      <c r="O327" s="94"/>
      <c r="P327" s="94"/>
      <c r="Q327" s="94"/>
      <c r="R327" s="94"/>
      <c r="S327" s="94"/>
      <c r="T327" s="94"/>
      <c r="U327" s="94"/>
      <c r="V327" s="195"/>
      <c r="W327" s="195"/>
      <c r="X327" s="195"/>
      <c r="Y327" s="195"/>
      <c r="Z327" s="195"/>
      <c r="AA327" s="195"/>
      <c r="AB327" s="195"/>
      <c r="AC327" s="195"/>
      <c r="AD327" s="195"/>
    </row>
    <row r="328" spans="1:30">
      <c r="A328" s="194"/>
      <c r="B328" s="314"/>
      <c r="C328" s="341"/>
      <c r="D328" s="167"/>
      <c r="E328" s="231"/>
      <c r="F328" s="59"/>
      <c r="G328" s="59"/>
      <c r="H328" s="271"/>
      <c r="I328" s="293"/>
      <c r="J328" s="95"/>
      <c r="K328" s="94"/>
      <c r="L328" s="94"/>
      <c r="M328" s="94"/>
      <c r="N328" s="94"/>
      <c r="O328" s="94"/>
      <c r="P328" s="94"/>
      <c r="Q328" s="94"/>
      <c r="R328" s="94"/>
      <c r="S328" s="94"/>
      <c r="T328" s="94"/>
      <c r="U328" s="94"/>
      <c r="V328" s="195"/>
      <c r="W328" s="195"/>
      <c r="X328" s="195"/>
      <c r="Y328" s="195"/>
      <c r="Z328" s="195"/>
      <c r="AA328" s="195"/>
      <c r="AB328" s="195"/>
      <c r="AC328" s="195"/>
      <c r="AD328" s="195"/>
    </row>
    <row r="329" spans="1:30">
      <c r="A329" s="194"/>
      <c r="B329" s="314"/>
      <c r="C329" s="341"/>
      <c r="D329" s="167"/>
      <c r="E329" s="231"/>
      <c r="F329" s="59"/>
      <c r="G329" s="59"/>
      <c r="H329" s="271"/>
      <c r="I329" s="293"/>
      <c r="J329" s="95"/>
      <c r="K329" s="94"/>
      <c r="L329" s="94"/>
      <c r="M329" s="94"/>
      <c r="N329" s="94"/>
      <c r="O329" s="94"/>
      <c r="P329" s="94"/>
      <c r="Q329" s="94"/>
      <c r="R329" s="94"/>
      <c r="S329" s="94"/>
      <c r="T329" s="94"/>
      <c r="U329" s="94"/>
      <c r="V329" s="195"/>
      <c r="W329" s="195"/>
      <c r="X329" s="195"/>
      <c r="Y329" s="195"/>
      <c r="Z329" s="195"/>
      <c r="AA329" s="195"/>
      <c r="AB329" s="195"/>
      <c r="AC329" s="195"/>
      <c r="AD329" s="195"/>
    </row>
    <row r="330" spans="1:30">
      <c r="A330" s="194"/>
      <c r="B330" s="314"/>
      <c r="C330" s="341"/>
      <c r="D330" s="167"/>
      <c r="E330" s="231"/>
      <c r="F330" s="59"/>
      <c r="G330" s="59"/>
      <c r="H330" s="271"/>
      <c r="I330" s="293"/>
      <c r="J330" s="95"/>
      <c r="K330" s="94"/>
      <c r="L330" s="94"/>
      <c r="M330" s="94"/>
      <c r="N330" s="94"/>
      <c r="O330" s="94"/>
      <c r="P330" s="94"/>
      <c r="Q330" s="94"/>
      <c r="R330" s="94"/>
      <c r="S330" s="94"/>
      <c r="T330" s="94"/>
      <c r="U330" s="94"/>
      <c r="V330" s="195"/>
      <c r="W330" s="195"/>
      <c r="X330" s="195"/>
      <c r="Y330" s="195"/>
      <c r="Z330" s="195"/>
      <c r="AA330" s="195"/>
      <c r="AB330" s="195"/>
      <c r="AC330" s="195"/>
      <c r="AD330" s="195"/>
    </row>
    <row r="331" spans="1:30">
      <c r="A331" s="194"/>
      <c r="B331" s="314"/>
      <c r="C331" s="341"/>
      <c r="D331" s="167"/>
      <c r="E331" s="231"/>
      <c r="F331" s="59"/>
      <c r="G331" s="59"/>
      <c r="H331" s="271"/>
      <c r="I331" s="293"/>
      <c r="J331" s="95"/>
      <c r="K331" s="94"/>
      <c r="L331" s="94"/>
      <c r="M331" s="94"/>
      <c r="N331" s="94"/>
      <c r="O331" s="94"/>
      <c r="P331" s="94"/>
      <c r="Q331" s="94"/>
      <c r="R331" s="94"/>
      <c r="S331" s="94"/>
      <c r="T331" s="94"/>
      <c r="U331" s="94"/>
      <c r="V331" s="195"/>
      <c r="W331" s="195"/>
      <c r="X331" s="195"/>
      <c r="Y331" s="195"/>
      <c r="Z331" s="195"/>
      <c r="AA331" s="195"/>
      <c r="AB331" s="195"/>
      <c r="AC331" s="195"/>
      <c r="AD331" s="195"/>
    </row>
    <row r="332" spans="1:30">
      <c r="A332" s="194"/>
      <c r="B332" s="314"/>
      <c r="C332" s="341"/>
      <c r="D332" s="167"/>
      <c r="E332" s="231"/>
      <c r="F332" s="59"/>
      <c r="G332" s="59"/>
      <c r="H332" s="271"/>
      <c r="I332" s="293"/>
      <c r="J332" s="95"/>
      <c r="K332" s="94"/>
      <c r="L332" s="94"/>
      <c r="M332" s="94"/>
      <c r="N332" s="94"/>
      <c r="O332" s="94"/>
      <c r="P332" s="94"/>
      <c r="Q332" s="94"/>
      <c r="R332" s="94"/>
      <c r="S332" s="94"/>
      <c r="T332" s="94"/>
      <c r="U332" s="94"/>
      <c r="V332" s="195"/>
      <c r="W332" s="195"/>
      <c r="X332" s="195"/>
      <c r="Y332" s="195"/>
      <c r="Z332" s="195"/>
      <c r="AA332" s="195"/>
      <c r="AB332" s="195"/>
      <c r="AC332" s="195"/>
      <c r="AD332" s="195"/>
    </row>
    <row r="333" spans="1:30">
      <c r="A333" s="194"/>
      <c r="B333" s="314"/>
      <c r="C333" s="341"/>
      <c r="D333" s="167"/>
      <c r="E333" s="231"/>
      <c r="F333" s="59"/>
      <c r="G333" s="59"/>
      <c r="H333" s="271"/>
      <c r="I333" s="293"/>
      <c r="J333" s="95"/>
      <c r="K333" s="94"/>
      <c r="L333" s="94"/>
      <c r="M333" s="94"/>
      <c r="N333" s="94"/>
      <c r="O333" s="94"/>
      <c r="P333" s="94"/>
      <c r="Q333" s="94"/>
      <c r="R333" s="94"/>
      <c r="S333" s="94"/>
      <c r="T333" s="94"/>
      <c r="U333" s="94"/>
      <c r="V333" s="195"/>
      <c r="W333" s="195"/>
      <c r="X333" s="195"/>
      <c r="Y333" s="195"/>
      <c r="Z333" s="195"/>
      <c r="AA333" s="195"/>
      <c r="AB333" s="195"/>
      <c r="AC333" s="195"/>
      <c r="AD333" s="195"/>
    </row>
    <row r="334" spans="1:30">
      <c r="A334" s="194"/>
      <c r="B334" s="314"/>
      <c r="C334" s="341"/>
      <c r="D334" s="167"/>
      <c r="E334" s="231"/>
      <c r="F334" s="59"/>
      <c r="G334" s="59"/>
      <c r="H334" s="271"/>
      <c r="I334" s="293"/>
      <c r="J334" s="95"/>
      <c r="K334" s="94"/>
      <c r="L334" s="94"/>
      <c r="M334" s="94"/>
      <c r="N334" s="94"/>
      <c r="O334" s="94"/>
      <c r="P334" s="94"/>
      <c r="Q334" s="94"/>
      <c r="R334" s="94"/>
      <c r="S334" s="94"/>
      <c r="T334" s="94"/>
      <c r="U334" s="94"/>
      <c r="V334" s="195"/>
      <c r="W334" s="195"/>
      <c r="X334" s="195"/>
      <c r="Y334" s="195"/>
      <c r="Z334" s="195"/>
      <c r="AA334" s="195"/>
      <c r="AB334" s="195"/>
      <c r="AC334" s="195"/>
      <c r="AD334" s="195"/>
    </row>
    <row r="335" spans="1:30">
      <c r="A335" s="194"/>
      <c r="B335" s="314"/>
      <c r="C335" s="341"/>
      <c r="D335" s="167"/>
      <c r="E335" s="231"/>
      <c r="F335" s="59"/>
      <c r="G335" s="59"/>
      <c r="H335" s="271"/>
      <c r="I335" s="293"/>
      <c r="J335" s="95"/>
      <c r="K335" s="94"/>
      <c r="L335" s="94"/>
      <c r="M335" s="94"/>
      <c r="N335" s="94"/>
      <c r="O335" s="94"/>
      <c r="P335" s="94"/>
      <c r="Q335" s="94"/>
      <c r="R335" s="94"/>
      <c r="S335" s="94"/>
      <c r="T335" s="94"/>
      <c r="U335" s="94"/>
      <c r="V335" s="195"/>
      <c r="W335" s="195"/>
      <c r="X335" s="195"/>
      <c r="Y335" s="195"/>
      <c r="Z335" s="195"/>
      <c r="AA335" s="195"/>
      <c r="AB335" s="195"/>
      <c r="AC335" s="195"/>
      <c r="AD335" s="195"/>
    </row>
    <row r="336" spans="1:30">
      <c r="A336" s="194"/>
      <c r="B336" s="314"/>
      <c r="C336" s="341"/>
      <c r="D336" s="167"/>
      <c r="E336" s="231"/>
      <c r="F336" s="59"/>
      <c r="G336" s="59"/>
      <c r="H336" s="271"/>
      <c r="I336" s="293"/>
      <c r="J336" s="95"/>
      <c r="K336" s="94"/>
      <c r="L336" s="94"/>
      <c r="M336" s="94"/>
      <c r="N336" s="94"/>
      <c r="O336" s="94"/>
      <c r="P336" s="94"/>
      <c r="Q336" s="94"/>
      <c r="R336" s="94"/>
      <c r="S336" s="94"/>
      <c r="T336" s="94"/>
      <c r="U336" s="94"/>
      <c r="V336" s="195"/>
      <c r="W336" s="195"/>
      <c r="X336" s="195"/>
      <c r="Y336" s="195"/>
      <c r="Z336" s="195"/>
      <c r="AA336" s="195"/>
      <c r="AB336" s="195"/>
      <c r="AC336" s="195"/>
      <c r="AD336" s="195"/>
    </row>
    <row r="337" spans="1:30">
      <c r="A337" s="194"/>
      <c r="B337" s="314"/>
      <c r="C337" s="341"/>
      <c r="D337" s="167"/>
      <c r="E337" s="231"/>
      <c r="F337" s="59"/>
      <c r="G337" s="59"/>
      <c r="H337" s="271"/>
      <c r="I337" s="293"/>
      <c r="J337" s="95"/>
      <c r="K337" s="94"/>
      <c r="L337" s="94"/>
      <c r="M337" s="94"/>
      <c r="N337" s="94"/>
      <c r="O337" s="94"/>
      <c r="P337" s="94"/>
      <c r="Q337" s="94"/>
      <c r="R337" s="94"/>
      <c r="S337" s="94"/>
      <c r="T337" s="94"/>
      <c r="U337" s="94"/>
      <c r="V337" s="195"/>
      <c r="W337" s="195"/>
      <c r="X337" s="195"/>
      <c r="Y337" s="195"/>
      <c r="Z337" s="195"/>
      <c r="AA337" s="195"/>
      <c r="AB337" s="195"/>
      <c r="AC337" s="195"/>
      <c r="AD337" s="195"/>
    </row>
    <row r="338" spans="1:30">
      <c r="A338" s="194"/>
      <c r="B338" s="314"/>
      <c r="C338" s="341"/>
      <c r="D338" s="167"/>
      <c r="E338" s="231"/>
      <c r="F338" s="59"/>
      <c r="G338" s="59"/>
      <c r="H338" s="271"/>
      <c r="I338" s="293"/>
      <c r="J338" s="95"/>
      <c r="K338" s="94"/>
      <c r="L338" s="94"/>
      <c r="M338" s="94"/>
      <c r="N338" s="94"/>
      <c r="O338" s="94"/>
      <c r="P338" s="94"/>
      <c r="Q338" s="94"/>
      <c r="R338" s="94"/>
      <c r="S338" s="94"/>
      <c r="T338" s="94"/>
      <c r="U338" s="94"/>
      <c r="V338" s="195"/>
      <c r="W338" s="195"/>
      <c r="X338" s="195"/>
      <c r="Y338" s="195"/>
      <c r="Z338" s="195"/>
      <c r="AA338" s="195"/>
      <c r="AB338" s="195"/>
      <c r="AC338" s="195"/>
      <c r="AD338" s="195"/>
    </row>
    <row r="339" spans="1:30">
      <c r="A339" s="194"/>
      <c r="B339" s="314"/>
      <c r="C339" s="341"/>
      <c r="D339" s="167"/>
      <c r="E339" s="231"/>
      <c r="F339" s="59"/>
      <c r="G339" s="59"/>
      <c r="H339" s="271"/>
      <c r="I339" s="293"/>
      <c r="J339" s="95"/>
      <c r="K339" s="94"/>
      <c r="L339" s="94"/>
      <c r="M339" s="94"/>
      <c r="N339" s="94"/>
      <c r="O339" s="94"/>
      <c r="P339" s="94"/>
      <c r="Q339" s="94"/>
      <c r="R339" s="94"/>
      <c r="S339" s="94"/>
      <c r="T339" s="94"/>
      <c r="U339" s="94"/>
      <c r="V339" s="195"/>
      <c r="W339" s="195"/>
      <c r="X339" s="195"/>
      <c r="Y339" s="195"/>
      <c r="Z339" s="195"/>
      <c r="AA339" s="195"/>
      <c r="AB339" s="195"/>
      <c r="AC339" s="195"/>
      <c r="AD339" s="195"/>
    </row>
    <row r="340" spans="1:30">
      <c r="A340" s="194"/>
      <c r="B340" s="314"/>
      <c r="C340" s="341"/>
      <c r="D340" s="167"/>
      <c r="E340" s="231"/>
      <c r="F340" s="59"/>
      <c r="G340" s="59"/>
      <c r="H340" s="271"/>
      <c r="I340" s="293"/>
      <c r="J340" s="95"/>
      <c r="K340" s="94"/>
      <c r="L340" s="94"/>
      <c r="M340" s="94"/>
      <c r="N340" s="94"/>
      <c r="O340" s="94"/>
      <c r="P340" s="94"/>
      <c r="Q340" s="94"/>
      <c r="R340" s="94"/>
      <c r="S340" s="94"/>
      <c r="T340" s="94"/>
      <c r="U340" s="94"/>
      <c r="V340" s="195"/>
      <c r="W340" s="195"/>
      <c r="X340" s="195"/>
      <c r="Y340" s="195"/>
      <c r="Z340" s="195"/>
      <c r="AA340" s="195"/>
      <c r="AB340" s="195"/>
      <c r="AC340" s="195"/>
      <c r="AD340" s="195"/>
    </row>
    <row r="341" spans="1:30">
      <c r="A341" s="194"/>
      <c r="B341" s="314"/>
      <c r="C341" s="341"/>
      <c r="D341" s="167"/>
      <c r="E341" s="231"/>
      <c r="F341" s="59"/>
      <c r="G341" s="59"/>
      <c r="H341" s="271"/>
      <c r="I341" s="293"/>
      <c r="J341" s="95"/>
      <c r="K341" s="94"/>
      <c r="L341" s="94"/>
      <c r="M341" s="94"/>
      <c r="N341" s="94"/>
      <c r="O341" s="94"/>
      <c r="P341" s="94"/>
      <c r="Q341" s="94"/>
      <c r="R341" s="94"/>
      <c r="S341" s="94"/>
      <c r="T341" s="94"/>
      <c r="U341" s="94"/>
      <c r="V341" s="195"/>
      <c r="W341" s="195"/>
      <c r="X341" s="195"/>
      <c r="Y341" s="195"/>
      <c r="Z341" s="195"/>
      <c r="AA341" s="195"/>
      <c r="AB341" s="195"/>
      <c r="AC341" s="195"/>
      <c r="AD341" s="195"/>
    </row>
    <row r="342" spans="1:30">
      <c r="A342" s="194"/>
      <c r="B342" s="314"/>
      <c r="C342" s="341"/>
      <c r="D342" s="167"/>
      <c r="E342" s="231"/>
      <c r="F342" s="59"/>
      <c r="G342" s="59"/>
      <c r="H342" s="271"/>
      <c r="I342" s="293"/>
      <c r="J342" s="95"/>
      <c r="K342" s="94"/>
      <c r="L342" s="94"/>
      <c r="M342" s="94"/>
      <c r="N342" s="94"/>
      <c r="O342" s="94"/>
      <c r="P342" s="94"/>
      <c r="Q342" s="94"/>
      <c r="R342" s="94"/>
      <c r="S342" s="94"/>
      <c r="T342" s="94"/>
      <c r="U342" s="94"/>
      <c r="V342" s="195"/>
      <c r="W342" s="195"/>
      <c r="X342" s="195"/>
      <c r="Y342" s="195"/>
      <c r="Z342" s="195"/>
      <c r="AA342" s="195"/>
      <c r="AB342" s="195"/>
      <c r="AC342" s="195"/>
      <c r="AD342" s="195"/>
    </row>
    <row r="343" spans="1:30">
      <c r="A343" s="194"/>
      <c r="B343" s="314"/>
      <c r="C343" s="341"/>
      <c r="D343" s="167"/>
      <c r="E343" s="231"/>
      <c r="F343" s="59"/>
      <c r="G343" s="59"/>
      <c r="H343" s="271"/>
      <c r="I343" s="293"/>
      <c r="J343" s="95"/>
      <c r="K343" s="94"/>
      <c r="L343" s="94"/>
      <c r="M343" s="94"/>
      <c r="N343" s="94"/>
      <c r="O343" s="94"/>
      <c r="P343" s="94"/>
      <c r="Q343" s="94"/>
      <c r="R343" s="94"/>
      <c r="S343" s="94"/>
      <c r="T343" s="94"/>
      <c r="U343" s="94"/>
      <c r="V343" s="195"/>
      <c r="W343" s="195"/>
      <c r="X343" s="195"/>
      <c r="Y343" s="195"/>
      <c r="Z343" s="195"/>
      <c r="AA343" s="195"/>
      <c r="AB343" s="195"/>
      <c r="AC343" s="195"/>
      <c r="AD343" s="195"/>
    </row>
    <row r="344" spans="1:30">
      <c r="A344" s="194"/>
      <c r="B344" s="314"/>
      <c r="C344" s="341"/>
      <c r="D344" s="167"/>
      <c r="E344" s="231"/>
      <c r="F344" s="59"/>
      <c r="G344" s="59"/>
      <c r="H344" s="271"/>
      <c r="I344" s="293"/>
      <c r="J344" s="95"/>
      <c r="K344" s="94"/>
      <c r="L344" s="94"/>
      <c r="M344" s="94"/>
      <c r="N344" s="94"/>
      <c r="O344" s="94"/>
      <c r="P344" s="94"/>
      <c r="Q344" s="94"/>
      <c r="R344" s="94"/>
      <c r="S344" s="94"/>
      <c r="T344" s="94"/>
      <c r="U344" s="94"/>
      <c r="V344" s="195"/>
      <c r="W344" s="195"/>
      <c r="X344" s="195"/>
      <c r="Y344" s="195"/>
      <c r="Z344" s="195"/>
      <c r="AA344" s="195"/>
      <c r="AB344" s="195"/>
      <c r="AC344" s="195"/>
      <c r="AD344" s="195"/>
    </row>
    <row r="345" spans="1:30">
      <c r="A345" s="194"/>
      <c r="B345" s="314"/>
      <c r="C345" s="341"/>
      <c r="D345" s="167"/>
      <c r="E345" s="231"/>
      <c r="F345" s="59"/>
      <c r="G345" s="59"/>
      <c r="H345" s="271"/>
      <c r="I345" s="293"/>
      <c r="J345" s="95"/>
      <c r="K345" s="94"/>
      <c r="L345" s="94"/>
      <c r="M345" s="94"/>
      <c r="N345" s="94"/>
      <c r="O345" s="94"/>
      <c r="P345" s="94"/>
      <c r="Q345" s="94"/>
      <c r="R345" s="94"/>
      <c r="S345" s="94"/>
      <c r="T345" s="94"/>
      <c r="U345" s="94"/>
      <c r="V345" s="195"/>
      <c r="W345" s="195"/>
      <c r="X345" s="195"/>
      <c r="Y345" s="195"/>
      <c r="Z345" s="195"/>
      <c r="AA345" s="195"/>
      <c r="AB345" s="195"/>
      <c r="AC345" s="195"/>
      <c r="AD345" s="195"/>
    </row>
    <row r="346" spans="1:30">
      <c r="A346" s="194"/>
      <c r="B346" s="314"/>
      <c r="C346" s="341"/>
      <c r="D346" s="167"/>
      <c r="E346" s="231"/>
      <c r="F346" s="59"/>
      <c r="G346" s="59"/>
      <c r="H346" s="271"/>
      <c r="I346" s="293"/>
      <c r="J346" s="95"/>
      <c r="K346" s="94"/>
      <c r="L346" s="94"/>
      <c r="M346" s="94"/>
      <c r="N346" s="94"/>
      <c r="O346" s="94"/>
      <c r="P346" s="94"/>
      <c r="Q346" s="94"/>
      <c r="R346" s="94"/>
      <c r="S346" s="94"/>
      <c r="T346" s="94"/>
      <c r="U346" s="94"/>
      <c r="V346" s="195"/>
      <c r="W346" s="195"/>
      <c r="X346" s="195"/>
      <c r="Y346" s="195"/>
      <c r="Z346" s="195"/>
      <c r="AA346" s="195"/>
      <c r="AB346" s="195"/>
      <c r="AC346" s="195"/>
      <c r="AD346" s="195"/>
    </row>
    <row r="347" spans="1:30">
      <c r="A347" s="194"/>
      <c r="B347" s="314"/>
      <c r="C347" s="341"/>
      <c r="D347" s="167"/>
      <c r="E347" s="231"/>
      <c r="F347" s="59"/>
      <c r="G347" s="59"/>
      <c r="H347" s="271"/>
      <c r="I347" s="293"/>
      <c r="J347" s="95"/>
      <c r="K347" s="94"/>
      <c r="L347" s="94"/>
      <c r="M347" s="94"/>
      <c r="N347" s="94"/>
      <c r="O347" s="94"/>
      <c r="P347" s="94"/>
      <c r="Q347" s="94"/>
      <c r="R347" s="94"/>
      <c r="S347" s="94"/>
      <c r="T347" s="94"/>
      <c r="U347" s="94"/>
      <c r="V347" s="195"/>
      <c r="W347" s="195"/>
      <c r="X347" s="195"/>
      <c r="Y347" s="195"/>
      <c r="Z347" s="195"/>
      <c r="AA347" s="195"/>
      <c r="AB347" s="195"/>
      <c r="AC347" s="195"/>
      <c r="AD347" s="195"/>
    </row>
    <row r="348" spans="1:30">
      <c r="A348" s="194"/>
      <c r="B348" s="314"/>
      <c r="C348" s="341"/>
      <c r="D348" s="167"/>
      <c r="E348" s="231"/>
      <c r="F348" s="59"/>
      <c r="G348" s="59"/>
      <c r="H348" s="271"/>
      <c r="I348" s="293"/>
      <c r="J348" s="95"/>
      <c r="K348" s="94"/>
      <c r="L348" s="94"/>
      <c r="M348" s="94"/>
      <c r="N348" s="94"/>
      <c r="O348" s="94"/>
      <c r="P348" s="94"/>
      <c r="Q348" s="94"/>
      <c r="R348" s="94"/>
      <c r="S348" s="94"/>
      <c r="T348" s="94"/>
      <c r="U348" s="94"/>
      <c r="V348" s="195"/>
      <c r="W348" s="195"/>
      <c r="X348" s="195"/>
      <c r="Y348" s="195"/>
      <c r="Z348" s="195"/>
      <c r="AA348" s="195"/>
      <c r="AB348" s="195"/>
      <c r="AC348" s="195"/>
      <c r="AD348" s="195"/>
    </row>
    <row r="349" spans="1:30">
      <c r="A349" s="194"/>
      <c r="B349" s="314"/>
      <c r="C349" s="341"/>
      <c r="D349" s="167"/>
      <c r="E349" s="231"/>
      <c r="F349" s="59"/>
      <c r="G349" s="59"/>
      <c r="H349" s="271"/>
      <c r="I349" s="293"/>
      <c r="J349" s="95"/>
      <c r="K349" s="94"/>
      <c r="L349" s="94"/>
      <c r="M349" s="94"/>
      <c r="N349" s="94"/>
      <c r="O349" s="94"/>
      <c r="P349" s="94"/>
      <c r="Q349" s="94"/>
      <c r="R349" s="94"/>
      <c r="S349" s="94"/>
      <c r="T349" s="94"/>
      <c r="U349" s="94"/>
      <c r="V349" s="195"/>
      <c r="W349" s="195"/>
      <c r="X349" s="195"/>
      <c r="Y349" s="195"/>
      <c r="Z349" s="195"/>
      <c r="AA349" s="195"/>
      <c r="AB349" s="195"/>
      <c r="AC349" s="195"/>
      <c r="AD349" s="195"/>
    </row>
    <row r="350" spans="1:30">
      <c r="A350" s="194"/>
      <c r="B350" s="314"/>
      <c r="C350" s="341"/>
      <c r="D350" s="167"/>
      <c r="E350" s="231"/>
      <c r="F350" s="59"/>
      <c r="G350" s="59"/>
      <c r="H350" s="271"/>
      <c r="I350" s="293"/>
      <c r="J350" s="42"/>
      <c r="K350" s="94"/>
      <c r="L350" s="195"/>
      <c r="M350" s="94"/>
      <c r="N350" s="94"/>
      <c r="O350" s="94"/>
      <c r="P350" s="94"/>
      <c r="Q350" s="94"/>
      <c r="R350" s="94"/>
      <c r="S350" s="94"/>
      <c r="T350" s="94"/>
      <c r="U350" s="94"/>
      <c r="V350" s="195"/>
      <c r="W350" s="195"/>
      <c r="X350" s="195"/>
      <c r="Y350" s="195"/>
      <c r="Z350" s="195"/>
      <c r="AA350" s="195"/>
      <c r="AB350" s="195"/>
      <c r="AC350" s="195"/>
      <c r="AD350" s="195"/>
    </row>
    <row r="351" spans="1:30">
      <c r="A351" s="194"/>
      <c r="B351" s="314"/>
      <c r="C351" s="341"/>
      <c r="D351" s="167"/>
      <c r="E351" s="231"/>
      <c r="F351" s="59"/>
      <c r="G351" s="231"/>
      <c r="H351" s="272"/>
      <c r="I351" s="293"/>
      <c r="J351" s="42"/>
      <c r="K351" s="195"/>
      <c r="L351" s="195"/>
      <c r="M351" s="195"/>
      <c r="N351" s="196"/>
      <c r="O351" s="195"/>
      <c r="P351" s="195"/>
      <c r="Q351" s="195"/>
      <c r="R351" s="195"/>
      <c r="S351" s="195"/>
      <c r="T351" s="195"/>
      <c r="U351" s="195"/>
      <c r="V351" s="195"/>
      <c r="W351" s="195"/>
      <c r="X351" s="195"/>
      <c r="Y351" s="195"/>
      <c r="Z351" s="195"/>
      <c r="AA351" s="195"/>
      <c r="AB351" s="195"/>
      <c r="AC351" s="195"/>
      <c r="AD351" s="195"/>
    </row>
    <row r="352" spans="1:30">
      <c r="A352" s="194"/>
      <c r="B352" s="314"/>
      <c r="C352" s="341"/>
      <c r="D352" s="167"/>
      <c r="E352" s="231"/>
      <c r="F352" s="59"/>
      <c r="G352" s="231"/>
      <c r="H352" s="272"/>
      <c r="I352" s="293"/>
      <c r="J352" s="42"/>
      <c r="K352" s="195"/>
      <c r="L352" s="195"/>
      <c r="M352" s="195"/>
      <c r="N352" s="196"/>
      <c r="O352" s="195"/>
      <c r="P352" s="195"/>
      <c r="Q352" s="195"/>
      <c r="R352" s="195"/>
      <c r="S352" s="195"/>
      <c r="T352" s="195"/>
      <c r="U352" s="195"/>
      <c r="V352" s="195"/>
      <c r="W352" s="195"/>
      <c r="X352" s="195"/>
      <c r="Y352" s="195"/>
      <c r="Z352" s="195"/>
      <c r="AA352" s="195"/>
      <c r="AB352" s="195"/>
      <c r="AC352" s="195"/>
      <c r="AD352" s="195"/>
    </row>
    <row r="353" spans="1:30">
      <c r="A353" s="194"/>
      <c r="B353" s="314"/>
      <c r="C353" s="341"/>
      <c r="D353" s="167"/>
      <c r="E353" s="231"/>
      <c r="F353" s="59"/>
      <c r="G353" s="231"/>
      <c r="H353" s="272"/>
      <c r="I353" s="293"/>
      <c r="J353" s="42"/>
      <c r="K353" s="195"/>
      <c r="L353" s="195"/>
      <c r="M353" s="195"/>
      <c r="N353" s="196"/>
      <c r="O353" s="195"/>
      <c r="P353" s="195"/>
      <c r="Q353" s="195"/>
      <c r="R353" s="195"/>
      <c r="S353" s="195"/>
      <c r="T353" s="195"/>
      <c r="U353" s="195"/>
      <c r="V353" s="195"/>
      <c r="W353" s="195"/>
      <c r="X353" s="195"/>
      <c r="Y353" s="195"/>
      <c r="Z353" s="195"/>
      <c r="AA353" s="195"/>
      <c r="AB353" s="195"/>
      <c r="AC353" s="195"/>
      <c r="AD353" s="195"/>
    </row>
    <row r="354" spans="1:30">
      <c r="A354" s="194"/>
      <c r="B354" s="314"/>
      <c r="C354" s="341"/>
      <c r="D354" s="167"/>
      <c r="E354" s="231"/>
      <c r="F354" s="59"/>
      <c r="G354" s="231"/>
      <c r="H354" s="272"/>
      <c r="I354" s="293"/>
      <c r="J354" s="42"/>
      <c r="K354" s="195"/>
      <c r="L354" s="195"/>
      <c r="M354" s="195"/>
      <c r="N354" s="196"/>
      <c r="O354" s="195"/>
      <c r="P354" s="195"/>
      <c r="Q354" s="195"/>
      <c r="R354" s="195"/>
      <c r="S354" s="195"/>
      <c r="T354" s="195"/>
      <c r="U354" s="195"/>
      <c r="V354" s="195"/>
      <c r="W354" s="195"/>
      <c r="X354" s="195"/>
      <c r="Y354" s="195"/>
      <c r="Z354" s="195"/>
      <c r="AA354" s="195"/>
      <c r="AB354" s="195"/>
      <c r="AC354" s="195"/>
      <c r="AD354" s="195"/>
    </row>
    <row r="355" spans="1:30">
      <c r="A355" s="194"/>
      <c r="B355" s="314"/>
      <c r="C355" s="341"/>
      <c r="D355" s="167"/>
      <c r="E355" s="231"/>
      <c r="F355" s="59"/>
      <c r="G355" s="231"/>
      <c r="H355" s="272"/>
      <c r="I355" s="293"/>
      <c r="J355" s="42"/>
      <c r="K355" s="195"/>
      <c r="L355" s="195"/>
      <c r="M355" s="195"/>
      <c r="N355" s="196"/>
      <c r="O355" s="195"/>
      <c r="P355" s="195"/>
      <c r="Q355" s="195"/>
      <c r="R355" s="195"/>
      <c r="S355" s="195"/>
      <c r="T355" s="195"/>
      <c r="U355" s="195"/>
      <c r="V355" s="195"/>
      <c r="W355" s="195"/>
      <c r="X355" s="195"/>
      <c r="Y355" s="195"/>
      <c r="Z355" s="195"/>
      <c r="AA355" s="195"/>
      <c r="AB355" s="195"/>
      <c r="AC355" s="195"/>
      <c r="AD355" s="195"/>
    </row>
    <row r="356" spans="1:30">
      <c r="A356" s="194"/>
      <c r="B356" s="314"/>
      <c r="C356" s="341"/>
      <c r="D356" s="167"/>
      <c r="E356" s="231"/>
      <c r="F356" s="59"/>
      <c r="G356" s="231"/>
      <c r="H356" s="272"/>
      <c r="I356" s="293"/>
      <c r="J356" s="42"/>
      <c r="K356" s="195"/>
      <c r="L356" s="195"/>
      <c r="M356" s="195"/>
      <c r="N356" s="196"/>
      <c r="O356" s="195"/>
      <c r="P356" s="195"/>
      <c r="Q356" s="195"/>
      <c r="R356" s="195"/>
      <c r="S356" s="195"/>
      <c r="T356" s="195"/>
      <c r="U356" s="195"/>
      <c r="V356" s="195"/>
      <c r="W356" s="195"/>
      <c r="X356" s="195"/>
      <c r="Y356" s="195"/>
      <c r="Z356" s="195"/>
      <c r="AA356" s="195"/>
      <c r="AB356" s="195"/>
      <c r="AC356" s="195"/>
      <c r="AD356" s="195"/>
    </row>
    <row r="357" spans="1:30">
      <c r="A357" s="194"/>
      <c r="B357" s="314"/>
      <c r="C357" s="331"/>
      <c r="D357" s="167"/>
      <c r="E357" s="231"/>
      <c r="F357" s="59"/>
      <c r="G357" s="231"/>
      <c r="H357" s="272"/>
      <c r="I357" s="293"/>
      <c r="J357" s="42"/>
      <c r="K357" s="195"/>
      <c r="L357" s="195"/>
      <c r="M357" s="195"/>
      <c r="N357" s="196"/>
      <c r="O357" s="195"/>
      <c r="P357" s="195"/>
      <c r="Q357" s="195"/>
      <c r="R357" s="195"/>
      <c r="S357" s="195"/>
      <c r="T357" s="195"/>
      <c r="U357" s="195"/>
      <c r="V357" s="195"/>
      <c r="W357" s="195"/>
      <c r="X357" s="195"/>
      <c r="Y357" s="195"/>
      <c r="Z357" s="195"/>
      <c r="AA357" s="195"/>
      <c r="AB357" s="195"/>
      <c r="AC357" s="195"/>
      <c r="AD357" s="195"/>
    </row>
    <row r="358" spans="1:30">
      <c r="A358" s="194"/>
      <c r="B358" s="314"/>
      <c r="C358" s="331"/>
      <c r="D358" s="167"/>
      <c r="E358" s="231"/>
      <c r="F358" s="59"/>
      <c r="G358" s="231"/>
      <c r="H358" s="272"/>
      <c r="I358" s="293"/>
      <c r="J358" s="42"/>
      <c r="K358" s="195"/>
      <c r="M358" s="195"/>
      <c r="N358" s="196"/>
      <c r="O358" s="195"/>
      <c r="P358" s="195"/>
      <c r="Q358" s="195"/>
      <c r="R358" s="195"/>
      <c r="S358" s="195"/>
      <c r="T358" s="195"/>
      <c r="U358" s="195"/>
      <c r="V358" s="195"/>
      <c r="W358" s="195"/>
      <c r="X358" s="195"/>
      <c r="Y358" s="195"/>
      <c r="Z358" s="195"/>
      <c r="AA358" s="195"/>
      <c r="AB358" s="195"/>
      <c r="AC358" s="195"/>
      <c r="AD358" s="195"/>
    </row>
    <row r="359" spans="1:30">
      <c r="A359" s="197"/>
      <c r="C359" s="331"/>
      <c r="E359" s="227"/>
      <c r="F359" s="210"/>
      <c r="G359" s="227"/>
      <c r="H359" s="259"/>
      <c r="I359" s="146"/>
      <c r="J359" s="42"/>
      <c r="N359" s="146"/>
    </row>
    <row r="360" spans="1:30">
      <c r="A360" s="197"/>
      <c r="C360" s="331"/>
      <c r="E360" s="227"/>
      <c r="F360" s="210"/>
      <c r="G360" s="227"/>
      <c r="H360" s="259"/>
      <c r="I360" s="146"/>
      <c r="J360" s="42"/>
      <c r="N360" s="146"/>
    </row>
    <row r="361" spans="1:30">
      <c r="A361" s="197"/>
      <c r="C361" s="331"/>
      <c r="E361" s="227"/>
      <c r="F361" s="210"/>
      <c r="G361" s="227"/>
      <c r="H361" s="259"/>
      <c r="I361" s="146"/>
      <c r="J361" s="42"/>
      <c r="N361" s="146"/>
    </row>
    <row r="362" spans="1:30">
      <c r="A362" s="197"/>
      <c r="C362" s="331"/>
      <c r="E362" s="227"/>
      <c r="F362" s="210"/>
      <c r="G362" s="227"/>
      <c r="H362" s="259"/>
      <c r="I362" s="146"/>
      <c r="J362" s="42"/>
      <c r="N362" s="146"/>
    </row>
    <row r="363" spans="1:30">
      <c r="A363" s="197"/>
      <c r="C363" s="331"/>
      <c r="E363" s="227"/>
      <c r="F363" s="210"/>
      <c r="G363" s="227"/>
      <c r="H363" s="259"/>
      <c r="I363" s="146"/>
      <c r="J363" s="42"/>
      <c r="N363" s="146"/>
    </row>
    <row r="364" spans="1:30">
      <c r="A364" s="197"/>
      <c r="C364" s="331"/>
      <c r="E364" s="227"/>
      <c r="F364" s="210"/>
      <c r="G364" s="227"/>
      <c r="H364" s="259"/>
      <c r="I364" s="146"/>
      <c r="J364" s="42"/>
      <c r="N364" s="146"/>
    </row>
    <row r="365" spans="1:30">
      <c r="A365" s="197"/>
      <c r="C365" s="331"/>
      <c r="E365" s="227"/>
      <c r="F365" s="210"/>
      <c r="G365" s="227"/>
      <c r="H365" s="259"/>
      <c r="I365" s="146"/>
      <c r="J365" s="42"/>
      <c r="N365" s="146"/>
    </row>
    <row r="366" spans="1:30">
      <c r="A366" s="197"/>
      <c r="C366" s="331"/>
      <c r="E366" s="227"/>
      <c r="F366" s="210"/>
      <c r="G366" s="227"/>
      <c r="H366" s="259"/>
      <c r="I366" s="146"/>
      <c r="J366" s="42"/>
      <c r="N366" s="146"/>
    </row>
    <row r="367" spans="1:30">
      <c r="A367" s="197"/>
      <c r="C367" s="331"/>
      <c r="E367" s="227"/>
      <c r="F367" s="210"/>
      <c r="G367" s="227"/>
      <c r="H367" s="259"/>
      <c r="I367" s="146"/>
      <c r="J367" s="42"/>
      <c r="N367" s="146"/>
    </row>
    <row r="368" spans="1:30">
      <c r="A368" s="197"/>
      <c r="C368" s="331"/>
      <c r="E368" s="227"/>
      <c r="F368" s="210"/>
      <c r="G368" s="227"/>
      <c r="H368" s="259"/>
      <c r="I368" s="146"/>
      <c r="J368" s="42"/>
      <c r="N368" s="146"/>
    </row>
    <row r="369" spans="1:14">
      <c r="A369" s="197"/>
      <c r="C369" s="331"/>
      <c r="E369" s="227"/>
      <c r="F369" s="210"/>
      <c r="G369" s="227"/>
      <c r="H369" s="259"/>
      <c r="I369" s="146"/>
      <c r="J369" s="42"/>
      <c r="N369" s="146"/>
    </row>
    <row r="370" spans="1:14">
      <c r="A370" s="197"/>
      <c r="C370" s="331"/>
      <c r="E370" s="227"/>
      <c r="F370" s="210"/>
      <c r="G370" s="227"/>
      <c r="H370" s="259"/>
      <c r="I370" s="146"/>
      <c r="J370" s="42"/>
      <c r="N370" s="146"/>
    </row>
    <row r="371" spans="1:14">
      <c r="A371" s="197"/>
      <c r="C371" s="331"/>
      <c r="E371" s="227"/>
      <c r="F371" s="210"/>
      <c r="G371" s="227"/>
      <c r="H371" s="259"/>
      <c r="I371" s="146"/>
      <c r="J371" s="42"/>
      <c r="N371" s="146"/>
    </row>
    <row r="372" spans="1:14">
      <c r="A372" s="197"/>
      <c r="C372" s="331"/>
      <c r="E372" s="227"/>
      <c r="F372" s="210"/>
      <c r="G372" s="227"/>
      <c r="H372" s="259"/>
      <c r="I372" s="146"/>
      <c r="J372" s="42"/>
      <c r="N372" s="146"/>
    </row>
    <row r="373" spans="1:14">
      <c r="A373" s="197"/>
      <c r="C373" s="331"/>
      <c r="E373" s="227"/>
      <c r="F373" s="210"/>
      <c r="G373" s="227"/>
      <c r="H373" s="259"/>
      <c r="I373" s="146"/>
      <c r="J373" s="42"/>
      <c r="N373" s="146"/>
    </row>
    <row r="374" spans="1:14">
      <c r="A374" s="197"/>
      <c r="C374" s="331"/>
      <c r="E374" s="227"/>
      <c r="F374" s="210"/>
      <c r="G374" s="227"/>
      <c r="H374" s="259"/>
      <c r="I374" s="146"/>
      <c r="J374" s="42"/>
      <c r="N374" s="146"/>
    </row>
    <row r="375" spans="1:14">
      <c r="A375" s="197"/>
      <c r="C375" s="331"/>
      <c r="E375" s="227"/>
      <c r="F375" s="210"/>
      <c r="G375" s="227"/>
      <c r="H375" s="259"/>
      <c r="I375" s="146"/>
      <c r="J375" s="42"/>
      <c r="N375" s="146"/>
    </row>
    <row r="376" spans="1:14">
      <c r="A376" s="197"/>
      <c r="C376" s="331"/>
      <c r="E376" s="227"/>
      <c r="F376" s="210"/>
      <c r="G376" s="227"/>
      <c r="H376" s="259"/>
      <c r="I376" s="146"/>
      <c r="J376" s="42"/>
      <c r="N376" s="146"/>
    </row>
    <row r="377" spans="1:14">
      <c r="A377" s="197"/>
      <c r="C377" s="331"/>
      <c r="E377" s="227"/>
      <c r="F377" s="210"/>
      <c r="G377" s="227"/>
      <c r="H377" s="259"/>
      <c r="I377" s="146"/>
      <c r="J377" s="42"/>
      <c r="N377" s="146"/>
    </row>
    <row r="378" spans="1:14">
      <c r="A378" s="197"/>
      <c r="C378" s="331"/>
      <c r="E378" s="227"/>
      <c r="F378" s="210"/>
      <c r="G378" s="227"/>
      <c r="H378" s="259"/>
      <c r="I378" s="146"/>
      <c r="J378" s="42"/>
      <c r="N378" s="146"/>
    </row>
    <row r="379" spans="1:14">
      <c r="A379" s="197"/>
      <c r="C379" s="331"/>
      <c r="E379" s="227"/>
      <c r="F379" s="210"/>
      <c r="G379" s="227"/>
      <c r="H379" s="259"/>
      <c r="I379" s="146"/>
      <c r="J379" s="42"/>
      <c r="N379" s="146"/>
    </row>
    <row r="380" spans="1:14">
      <c r="A380" s="197"/>
      <c r="C380" s="331"/>
      <c r="E380" s="227"/>
      <c r="F380" s="210"/>
      <c r="G380" s="227"/>
      <c r="H380" s="259"/>
      <c r="I380" s="146"/>
      <c r="J380" s="42"/>
      <c r="N380" s="146"/>
    </row>
    <row r="381" spans="1:14">
      <c r="A381" s="197"/>
      <c r="C381" s="331"/>
      <c r="E381" s="227"/>
      <c r="F381" s="210"/>
      <c r="G381" s="227"/>
      <c r="H381" s="259"/>
      <c r="I381" s="146"/>
      <c r="J381" s="42"/>
      <c r="N381" s="146"/>
    </row>
    <row r="382" spans="1:14">
      <c r="A382" s="197"/>
      <c r="C382" s="331"/>
      <c r="E382" s="227"/>
      <c r="F382" s="210"/>
      <c r="G382" s="227"/>
      <c r="H382" s="259"/>
      <c r="I382" s="146"/>
      <c r="J382" s="42"/>
      <c r="N382" s="146"/>
    </row>
    <row r="383" spans="1:14">
      <c r="A383" s="197"/>
      <c r="C383" s="331"/>
      <c r="E383" s="227"/>
      <c r="F383" s="210"/>
      <c r="G383" s="227"/>
      <c r="H383" s="259"/>
      <c r="I383" s="146"/>
      <c r="J383" s="42"/>
      <c r="N383" s="146"/>
    </row>
    <row r="384" spans="1:14">
      <c r="A384" s="197"/>
      <c r="C384" s="331"/>
      <c r="E384" s="227"/>
      <c r="F384" s="210"/>
      <c r="G384" s="227"/>
      <c r="H384" s="259"/>
      <c r="I384" s="146"/>
      <c r="J384" s="42"/>
      <c r="N384" s="146"/>
    </row>
    <row r="385" spans="1:14">
      <c r="A385" s="197"/>
      <c r="C385" s="331"/>
      <c r="E385" s="227"/>
      <c r="F385" s="210"/>
      <c r="G385" s="227"/>
      <c r="H385" s="259"/>
      <c r="I385" s="146"/>
      <c r="J385" s="42"/>
      <c r="N385" s="146"/>
    </row>
    <row r="386" spans="1:14">
      <c r="A386" s="197"/>
      <c r="C386" s="331"/>
      <c r="E386" s="227"/>
      <c r="F386" s="210"/>
      <c r="G386" s="227"/>
      <c r="H386" s="259"/>
      <c r="I386" s="146"/>
      <c r="J386" s="42"/>
      <c r="N386" s="146"/>
    </row>
    <row r="387" spans="1:14">
      <c r="A387" s="197"/>
      <c r="C387" s="331"/>
      <c r="E387" s="227"/>
      <c r="F387" s="210"/>
      <c r="G387" s="227"/>
      <c r="H387" s="259"/>
      <c r="I387" s="146"/>
      <c r="J387" s="42"/>
      <c r="N387" s="146"/>
    </row>
    <row r="388" spans="1:14">
      <c r="A388" s="197"/>
      <c r="C388" s="331"/>
      <c r="E388" s="227"/>
      <c r="F388" s="210"/>
      <c r="G388" s="227"/>
      <c r="H388" s="259"/>
      <c r="I388" s="146"/>
      <c r="J388" s="42"/>
      <c r="N388" s="146"/>
    </row>
    <row r="389" spans="1:14">
      <c r="A389" s="197"/>
      <c r="C389" s="331"/>
      <c r="E389" s="227"/>
      <c r="F389" s="210"/>
      <c r="G389" s="227"/>
      <c r="H389" s="259"/>
      <c r="I389" s="146"/>
      <c r="J389" s="42"/>
      <c r="N389" s="146"/>
    </row>
    <row r="390" spans="1:14">
      <c r="A390" s="197"/>
      <c r="C390" s="331"/>
      <c r="E390" s="227"/>
      <c r="F390" s="210"/>
      <c r="G390" s="227"/>
      <c r="H390" s="259"/>
      <c r="I390" s="146"/>
      <c r="J390" s="42"/>
      <c r="N390" s="146"/>
    </row>
    <row r="391" spans="1:14">
      <c r="A391" s="197"/>
      <c r="C391" s="331"/>
      <c r="E391" s="227"/>
      <c r="F391" s="210"/>
      <c r="G391" s="227"/>
      <c r="H391" s="259"/>
      <c r="I391" s="146"/>
      <c r="J391" s="42"/>
      <c r="N391" s="146"/>
    </row>
    <row r="392" spans="1:14">
      <c r="A392" s="197"/>
      <c r="C392" s="331"/>
      <c r="E392" s="227"/>
      <c r="F392" s="210"/>
      <c r="G392" s="227"/>
      <c r="H392" s="259"/>
      <c r="I392" s="146"/>
      <c r="J392" s="42"/>
      <c r="N392" s="146"/>
    </row>
    <row r="393" spans="1:14">
      <c r="A393" s="197"/>
      <c r="C393" s="331"/>
      <c r="E393" s="227"/>
      <c r="F393" s="210"/>
      <c r="G393" s="227"/>
      <c r="H393" s="259"/>
      <c r="I393" s="146"/>
      <c r="J393" s="42"/>
      <c r="N393" s="146"/>
    </row>
    <row r="394" spans="1:14">
      <c r="A394" s="197"/>
      <c r="C394" s="331"/>
      <c r="E394" s="227"/>
      <c r="F394" s="210"/>
      <c r="G394" s="227"/>
      <c r="H394" s="259"/>
      <c r="I394" s="146"/>
      <c r="J394" s="42"/>
      <c r="N394" s="146"/>
    </row>
    <row r="395" spans="1:14">
      <c r="A395" s="197"/>
      <c r="C395" s="331"/>
      <c r="E395" s="227"/>
      <c r="F395" s="210"/>
      <c r="G395" s="227"/>
      <c r="H395" s="259"/>
      <c r="I395" s="146"/>
      <c r="J395" s="42"/>
      <c r="N395" s="146"/>
    </row>
    <row r="396" spans="1:14">
      <c r="A396" s="197"/>
      <c r="C396" s="331"/>
      <c r="E396" s="227"/>
      <c r="F396" s="210"/>
      <c r="G396" s="227"/>
      <c r="H396" s="259"/>
      <c r="I396" s="146"/>
      <c r="J396" s="42"/>
      <c r="N396" s="146"/>
    </row>
    <row r="397" spans="1:14">
      <c r="A397" s="197"/>
      <c r="C397" s="331"/>
      <c r="E397" s="227"/>
      <c r="F397" s="210"/>
      <c r="G397" s="227"/>
      <c r="H397" s="259"/>
      <c r="I397" s="146"/>
      <c r="J397" s="42"/>
      <c r="N397" s="146"/>
    </row>
    <row r="398" spans="1:14">
      <c r="A398" s="197"/>
      <c r="C398" s="331"/>
      <c r="E398" s="227"/>
      <c r="F398" s="210"/>
      <c r="G398" s="227"/>
      <c r="H398" s="259"/>
      <c r="I398" s="146"/>
      <c r="J398" s="42"/>
      <c r="N398" s="146"/>
    </row>
    <row r="399" spans="1:14">
      <c r="A399" s="197"/>
      <c r="C399" s="331"/>
      <c r="E399" s="227"/>
      <c r="F399" s="210"/>
      <c r="G399" s="227"/>
      <c r="H399" s="259"/>
      <c r="I399" s="146"/>
      <c r="J399" s="42"/>
      <c r="N399" s="146"/>
    </row>
    <row r="400" spans="1:14">
      <c r="A400" s="197"/>
      <c r="C400" s="331"/>
      <c r="E400" s="227"/>
      <c r="F400" s="210"/>
      <c r="G400" s="227"/>
      <c r="H400" s="259"/>
      <c r="I400" s="146"/>
      <c r="J400" s="42"/>
      <c r="N400" s="146"/>
    </row>
    <row r="401" spans="1:14">
      <c r="A401" s="197"/>
      <c r="C401" s="331"/>
      <c r="E401" s="227"/>
      <c r="F401" s="210"/>
      <c r="G401" s="227"/>
      <c r="H401" s="259"/>
      <c r="I401" s="146"/>
      <c r="J401" s="42"/>
      <c r="N401" s="146"/>
    </row>
    <row r="402" spans="1:14">
      <c r="A402" s="197"/>
      <c r="C402" s="331"/>
      <c r="E402" s="227"/>
      <c r="F402" s="210"/>
      <c r="G402" s="227"/>
      <c r="H402" s="259"/>
      <c r="I402" s="146"/>
      <c r="J402" s="42"/>
      <c r="N402" s="146"/>
    </row>
    <row r="403" spans="1:14">
      <c r="A403" s="197"/>
      <c r="C403" s="331"/>
      <c r="E403" s="227"/>
      <c r="F403" s="210"/>
      <c r="G403" s="227"/>
      <c r="H403" s="259"/>
      <c r="I403" s="146"/>
      <c r="J403" s="42"/>
      <c r="N403" s="146"/>
    </row>
    <row r="404" spans="1:14">
      <c r="A404" s="197"/>
      <c r="C404" s="331"/>
      <c r="E404" s="227"/>
      <c r="F404" s="210"/>
      <c r="G404" s="227"/>
      <c r="H404" s="259"/>
      <c r="I404" s="146"/>
      <c r="J404" s="42"/>
      <c r="N404" s="146"/>
    </row>
    <row r="405" spans="1:14">
      <c r="A405" s="197"/>
      <c r="C405" s="331"/>
      <c r="E405" s="227"/>
      <c r="F405" s="210"/>
      <c r="G405" s="227"/>
      <c r="H405" s="259"/>
      <c r="I405" s="146"/>
      <c r="J405" s="42"/>
      <c r="N405" s="146"/>
    </row>
    <row r="406" spans="1:14">
      <c r="A406" s="197"/>
      <c r="C406" s="331"/>
      <c r="E406" s="227"/>
      <c r="F406" s="210"/>
      <c r="G406" s="227"/>
      <c r="H406" s="259"/>
      <c r="I406" s="146"/>
      <c r="J406" s="42"/>
      <c r="N406" s="146"/>
    </row>
    <row r="407" spans="1:14">
      <c r="A407" s="197"/>
      <c r="C407" s="331"/>
      <c r="E407" s="227"/>
      <c r="F407" s="210"/>
      <c r="G407" s="227"/>
      <c r="H407" s="259"/>
      <c r="I407" s="146"/>
      <c r="J407" s="42"/>
      <c r="N407" s="146"/>
    </row>
    <row r="408" spans="1:14">
      <c r="A408" s="197"/>
      <c r="C408" s="331"/>
      <c r="E408" s="227"/>
      <c r="F408" s="210"/>
      <c r="G408" s="227"/>
      <c r="H408" s="259"/>
      <c r="I408" s="146"/>
      <c r="J408" s="42"/>
      <c r="N408" s="146"/>
    </row>
    <row r="409" spans="1:14">
      <c r="A409" s="197"/>
      <c r="C409" s="331"/>
      <c r="E409" s="227"/>
      <c r="F409" s="210"/>
      <c r="G409" s="227"/>
      <c r="H409" s="259"/>
      <c r="I409" s="146"/>
      <c r="J409" s="42"/>
      <c r="N409" s="146"/>
    </row>
    <row r="410" spans="1:14">
      <c r="A410" s="197"/>
      <c r="C410" s="331"/>
      <c r="E410" s="227"/>
      <c r="F410" s="210"/>
      <c r="G410" s="227"/>
      <c r="H410" s="259"/>
      <c r="I410" s="146"/>
      <c r="J410" s="42"/>
      <c r="N410" s="146"/>
    </row>
    <row r="411" spans="1:14">
      <c r="A411" s="197"/>
      <c r="C411" s="331"/>
      <c r="E411" s="227"/>
      <c r="F411" s="210"/>
      <c r="G411" s="227"/>
      <c r="H411" s="259"/>
      <c r="I411" s="146"/>
      <c r="J411" s="42"/>
      <c r="N411" s="146"/>
    </row>
    <row r="412" spans="1:14">
      <c r="A412" s="197"/>
      <c r="C412" s="331"/>
      <c r="E412" s="227"/>
      <c r="F412" s="210"/>
      <c r="G412" s="227"/>
      <c r="H412" s="259"/>
      <c r="I412" s="146"/>
      <c r="J412" s="42"/>
      <c r="N412" s="146"/>
    </row>
    <row r="413" spans="1:14">
      <c r="A413" s="197"/>
      <c r="C413" s="331"/>
      <c r="E413" s="227"/>
      <c r="F413" s="210"/>
      <c r="G413" s="227"/>
      <c r="H413" s="259"/>
      <c r="I413" s="146"/>
      <c r="J413" s="42"/>
      <c r="N413" s="146"/>
    </row>
    <row r="414" spans="1:14">
      <c r="A414" s="197"/>
      <c r="C414" s="331"/>
      <c r="E414" s="227"/>
      <c r="F414" s="210"/>
      <c r="G414" s="227"/>
      <c r="H414" s="259"/>
      <c r="I414" s="146"/>
      <c r="J414" s="42"/>
      <c r="N414" s="146"/>
    </row>
    <row r="415" spans="1:14">
      <c r="A415" s="197"/>
      <c r="C415" s="331"/>
      <c r="E415" s="227"/>
      <c r="F415" s="210"/>
      <c r="G415" s="227"/>
      <c r="H415" s="259"/>
      <c r="I415" s="146"/>
      <c r="J415" s="42"/>
      <c r="N415" s="146"/>
    </row>
    <row r="416" spans="1:14">
      <c r="A416" s="197"/>
      <c r="C416" s="331"/>
      <c r="E416" s="227"/>
      <c r="F416" s="210"/>
      <c r="G416" s="227"/>
      <c r="H416" s="259"/>
      <c r="I416" s="146"/>
      <c r="J416" s="42"/>
      <c r="N416" s="146"/>
    </row>
    <row r="417" spans="1:14">
      <c r="A417" s="197"/>
      <c r="C417" s="331"/>
      <c r="E417" s="227"/>
      <c r="F417" s="210"/>
      <c r="G417" s="227"/>
      <c r="H417" s="259"/>
      <c r="I417" s="146"/>
      <c r="J417" s="42"/>
      <c r="N417" s="146"/>
    </row>
    <row r="418" spans="1:14">
      <c r="A418" s="197"/>
      <c r="C418" s="331"/>
      <c r="E418" s="227"/>
      <c r="F418" s="210"/>
      <c r="G418" s="227"/>
      <c r="H418" s="259"/>
      <c r="I418" s="146"/>
      <c r="J418" s="42"/>
      <c r="N418" s="146"/>
    </row>
    <row r="419" spans="1:14">
      <c r="A419" s="197"/>
      <c r="C419" s="331"/>
      <c r="E419" s="227"/>
      <c r="F419" s="210"/>
      <c r="G419" s="227"/>
      <c r="H419" s="259"/>
      <c r="I419" s="146"/>
      <c r="J419" s="42"/>
      <c r="N419" s="146"/>
    </row>
    <row r="420" spans="1:14">
      <c r="A420" s="197"/>
      <c r="C420" s="331"/>
      <c r="E420" s="227"/>
      <c r="F420" s="210"/>
      <c r="G420" s="227"/>
      <c r="H420" s="259"/>
      <c r="I420" s="146"/>
      <c r="J420" s="42"/>
      <c r="N420" s="146"/>
    </row>
    <row r="421" spans="1:14">
      <c r="A421" s="197"/>
      <c r="C421" s="331"/>
      <c r="E421" s="227"/>
      <c r="F421" s="210"/>
      <c r="G421" s="227"/>
      <c r="H421" s="259"/>
      <c r="I421" s="146"/>
      <c r="J421" s="42"/>
      <c r="N421" s="146"/>
    </row>
    <row r="422" spans="1:14">
      <c r="A422" s="197"/>
      <c r="C422" s="331"/>
      <c r="E422" s="227"/>
      <c r="F422" s="210"/>
      <c r="G422" s="227"/>
      <c r="H422" s="259"/>
      <c r="I422" s="146"/>
      <c r="J422" s="42"/>
      <c r="N422" s="146"/>
    </row>
    <row r="423" spans="1:14">
      <c r="A423" s="197"/>
      <c r="C423" s="331"/>
      <c r="E423" s="227"/>
      <c r="F423" s="210"/>
      <c r="G423" s="227"/>
      <c r="H423" s="259"/>
      <c r="I423" s="146"/>
      <c r="J423" s="42"/>
      <c r="N423" s="146"/>
    </row>
    <row r="424" spans="1:14">
      <c r="A424" s="197"/>
      <c r="C424" s="331"/>
      <c r="E424" s="227"/>
      <c r="F424" s="210"/>
      <c r="G424" s="227"/>
      <c r="H424" s="259"/>
      <c r="I424" s="146"/>
      <c r="J424" s="42"/>
      <c r="N424" s="146"/>
    </row>
    <row r="425" spans="1:14">
      <c r="A425" s="197"/>
      <c r="C425" s="331"/>
      <c r="E425" s="227"/>
      <c r="F425" s="210"/>
      <c r="G425" s="227"/>
      <c r="H425" s="259"/>
      <c r="I425" s="146"/>
      <c r="J425" s="42"/>
      <c r="N425" s="146"/>
    </row>
    <row r="426" spans="1:14">
      <c r="A426" s="197"/>
      <c r="C426" s="331"/>
      <c r="E426" s="227"/>
      <c r="F426" s="210"/>
      <c r="G426" s="227"/>
      <c r="H426" s="259"/>
      <c r="I426" s="146"/>
      <c r="J426" s="42"/>
      <c r="N426" s="146"/>
    </row>
    <row r="427" spans="1:14">
      <c r="A427" s="197"/>
      <c r="C427" s="331"/>
      <c r="E427" s="227"/>
      <c r="F427" s="210"/>
      <c r="G427" s="227"/>
      <c r="H427" s="259"/>
      <c r="I427" s="146"/>
      <c r="J427" s="42"/>
      <c r="N427" s="146"/>
    </row>
    <row r="428" spans="1:14">
      <c r="A428" s="197"/>
      <c r="C428" s="331"/>
      <c r="E428" s="227"/>
      <c r="F428" s="210"/>
      <c r="G428" s="227"/>
      <c r="H428" s="259"/>
      <c r="I428" s="146"/>
      <c r="J428" s="42"/>
      <c r="N428" s="146"/>
    </row>
    <row r="429" spans="1:14">
      <c r="A429" s="197"/>
      <c r="C429" s="331"/>
      <c r="E429" s="227"/>
      <c r="F429" s="210"/>
      <c r="G429" s="227"/>
      <c r="H429" s="259"/>
      <c r="I429" s="146"/>
      <c r="J429" s="42"/>
      <c r="N429" s="146"/>
    </row>
    <row r="430" spans="1:14">
      <c r="A430" s="197"/>
      <c r="C430" s="331"/>
      <c r="E430" s="227"/>
      <c r="F430" s="210"/>
      <c r="G430" s="227"/>
      <c r="H430" s="259"/>
      <c r="I430" s="146"/>
      <c r="J430" s="42"/>
      <c r="N430" s="146"/>
    </row>
    <row r="431" spans="1:14">
      <c r="A431" s="197"/>
      <c r="C431" s="331"/>
      <c r="E431" s="227"/>
      <c r="F431" s="210"/>
      <c r="G431" s="227"/>
      <c r="H431" s="259"/>
      <c r="I431" s="146"/>
      <c r="J431" s="42"/>
      <c r="N431" s="146"/>
    </row>
    <row r="432" spans="1:14">
      <c r="A432" s="197"/>
      <c r="C432" s="331"/>
      <c r="E432" s="227"/>
      <c r="F432" s="210"/>
      <c r="G432" s="227"/>
      <c r="H432" s="259"/>
      <c r="I432" s="146"/>
      <c r="J432" s="42"/>
      <c r="N432" s="146"/>
    </row>
    <row r="433" spans="1:14">
      <c r="A433" s="197"/>
      <c r="C433" s="331"/>
      <c r="E433" s="227"/>
      <c r="F433" s="210"/>
      <c r="G433" s="227"/>
      <c r="H433" s="259"/>
      <c r="I433" s="146"/>
      <c r="J433" s="42"/>
      <c r="N433" s="146"/>
    </row>
    <row r="434" spans="1:14">
      <c r="A434" s="197"/>
      <c r="C434" s="331"/>
      <c r="E434" s="227"/>
      <c r="F434" s="210"/>
      <c r="G434" s="227"/>
      <c r="H434" s="259"/>
      <c r="I434" s="146"/>
      <c r="J434" s="42"/>
      <c r="N434" s="146"/>
    </row>
    <row r="435" spans="1:14">
      <c r="A435" s="197"/>
      <c r="C435" s="331"/>
      <c r="E435" s="227"/>
      <c r="F435" s="210"/>
      <c r="G435" s="227"/>
      <c r="H435" s="259"/>
      <c r="I435" s="146"/>
      <c r="J435" s="42"/>
      <c r="N435" s="146"/>
    </row>
    <row r="436" spans="1:14">
      <c r="A436" s="197"/>
      <c r="C436" s="331"/>
      <c r="E436" s="227"/>
      <c r="F436" s="210"/>
      <c r="G436" s="227"/>
      <c r="H436" s="259"/>
      <c r="I436" s="146"/>
      <c r="J436" s="42"/>
      <c r="N436" s="146"/>
    </row>
    <row r="437" spans="1:14">
      <c r="A437" s="197"/>
      <c r="C437" s="331"/>
      <c r="E437" s="227"/>
      <c r="F437" s="210"/>
      <c r="G437" s="227"/>
      <c r="H437" s="259"/>
      <c r="I437" s="146"/>
      <c r="J437" s="42"/>
      <c r="N437" s="146"/>
    </row>
    <row r="438" spans="1:14">
      <c r="A438" s="197"/>
      <c r="C438" s="331"/>
      <c r="E438" s="227"/>
      <c r="F438" s="210"/>
      <c r="G438" s="227"/>
      <c r="H438" s="259"/>
      <c r="I438" s="146"/>
      <c r="J438" s="42"/>
      <c r="N438" s="146"/>
    </row>
    <row r="439" spans="1:14">
      <c r="A439" s="197"/>
      <c r="C439" s="331"/>
      <c r="E439" s="227"/>
      <c r="F439" s="210"/>
      <c r="G439" s="227"/>
      <c r="H439" s="259"/>
      <c r="I439" s="146"/>
      <c r="J439" s="42"/>
      <c r="N439" s="146"/>
    </row>
    <row r="440" spans="1:14">
      <c r="A440" s="197"/>
      <c r="C440" s="331"/>
      <c r="E440" s="227"/>
      <c r="F440" s="210"/>
      <c r="G440" s="227"/>
      <c r="H440" s="259"/>
      <c r="I440" s="146"/>
      <c r="J440" s="42"/>
      <c r="N440" s="146"/>
    </row>
    <row r="441" spans="1:14">
      <c r="A441" s="197"/>
      <c r="C441" s="331"/>
      <c r="E441" s="227"/>
      <c r="F441" s="210"/>
      <c r="G441" s="227"/>
      <c r="H441" s="259"/>
      <c r="I441" s="146"/>
      <c r="J441" s="42"/>
      <c r="N441" s="146"/>
    </row>
    <row r="442" spans="1:14">
      <c r="A442" s="197"/>
      <c r="C442" s="331"/>
      <c r="E442" s="227"/>
      <c r="F442" s="210"/>
      <c r="G442" s="227"/>
      <c r="H442" s="259"/>
      <c r="I442" s="146"/>
      <c r="J442" s="42"/>
      <c r="N442" s="146"/>
    </row>
    <row r="443" spans="1:14">
      <c r="A443" s="197"/>
      <c r="C443" s="331"/>
      <c r="E443" s="227"/>
      <c r="F443" s="210"/>
      <c r="G443" s="227"/>
      <c r="H443" s="259"/>
      <c r="I443" s="146"/>
      <c r="J443" s="42"/>
      <c r="N443" s="146"/>
    </row>
    <row r="444" spans="1:14">
      <c r="A444" s="197"/>
      <c r="C444" s="331"/>
      <c r="E444" s="227"/>
      <c r="F444" s="210"/>
      <c r="G444" s="227"/>
      <c r="H444" s="259"/>
      <c r="I444" s="146"/>
      <c r="J444" s="42"/>
      <c r="N444" s="146"/>
    </row>
    <row r="445" spans="1:14">
      <c r="A445" s="197"/>
      <c r="C445" s="331"/>
      <c r="E445" s="227"/>
      <c r="F445" s="210"/>
      <c r="G445" s="227"/>
      <c r="H445" s="259"/>
      <c r="I445" s="146"/>
      <c r="J445" s="42"/>
      <c r="N445" s="146"/>
    </row>
    <row r="446" spans="1:14">
      <c r="A446" s="197"/>
      <c r="C446" s="331"/>
      <c r="E446" s="227"/>
      <c r="F446" s="210"/>
      <c r="G446" s="227"/>
      <c r="H446" s="259"/>
      <c r="I446" s="146"/>
      <c r="J446" s="42"/>
      <c r="N446" s="146"/>
    </row>
    <row r="447" spans="1:14">
      <c r="A447" s="197"/>
      <c r="C447" s="331"/>
      <c r="E447" s="227"/>
      <c r="F447" s="210"/>
      <c r="G447" s="227"/>
      <c r="H447" s="259"/>
      <c r="I447" s="146"/>
      <c r="J447" s="42"/>
      <c r="N447" s="146"/>
    </row>
    <row r="448" spans="1:14">
      <c r="A448" s="197"/>
      <c r="C448" s="331"/>
      <c r="E448" s="227"/>
      <c r="F448" s="210"/>
      <c r="G448" s="227"/>
      <c r="H448" s="259"/>
      <c r="I448" s="146"/>
      <c r="J448" s="42"/>
      <c r="N448" s="146"/>
    </row>
    <row r="449" spans="1:14">
      <c r="A449" s="197"/>
      <c r="C449" s="331"/>
      <c r="E449" s="227"/>
      <c r="F449" s="210"/>
      <c r="G449" s="227"/>
      <c r="H449" s="259"/>
      <c r="I449" s="146"/>
      <c r="J449" s="42"/>
      <c r="N449" s="146"/>
    </row>
    <row r="450" spans="1:14">
      <c r="A450" s="197"/>
      <c r="C450" s="331"/>
      <c r="E450" s="227"/>
      <c r="F450" s="210"/>
      <c r="G450" s="227"/>
      <c r="H450" s="259"/>
      <c r="I450" s="146"/>
      <c r="J450" s="42"/>
      <c r="N450" s="146"/>
    </row>
    <row r="451" spans="1:14">
      <c r="A451" s="197"/>
      <c r="C451" s="331"/>
      <c r="E451" s="227"/>
      <c r="F451" s="210"/>
      <c r="G451" s="227"/>
      <c r="H451" s="259"/>
      <c r="I451" s="146"/>
      <c r="J451" s="42"/>
      <c r="N451" s="146"/>
    </row>
    <row r="452" spans="1:14">
      <c r="A452" s="197"/>
      <c r="C452" s="331"/>
      <c r="E452" s="227"/>
      <c r="F452" s="210"/>
      <c r="G452" s="227"/>
      <c r="H452" s="259"/>
      <c r="I452" s="146"/>
      <c r="J452" s="42"/>
      <c r="N452" s="146"/>
    </row>
    <row r="453" spans="1:14">
      <c r="A453" s="197"/>
      <c r="C453" s="331"/>
      <c r="E453" s="227"/>
      <c r="F453" s="210"/>
      <c r="G453" s="227"/>
      <c r="H453" s="259"/>
      <c r="I453" s="146"/>
      <c r="J453" s="42"/>
      <c r="N453" s="146"/>
    </row>
    <row r="454" spans="1:14">
      <c r="A454" s="197"/>
      <c r="C454" s="331"/>
      <c r="E454" s="227"/>
      <c r="F454" s="210"/>
      <c r="G454" s="227"/>
      <c r="H454" s="259"/>
      <c r="I454" s="146"/>
      <c r="J454" s="42"/>
      <c r="N454" s="146"/>
    </row>
    <row r="455" spans="1:14">
      <c r="A455" s="197"/>
      <c r="C455" s="331"/>
      <c r="E455" s="227"/>
      <c r="F455" s="210"/>
      <c r="G455" s="227"/>
      <c r="H455" s="259"/>
      <c r="I455" s="146"/>
      <c r="J455" s="42"/>
      <c r="N455" s="146"/>
    </row>
    <row r="456" spans="1:14">
      <c r="A456" s="197"/>
      <c r="C456" s="331"/>
      <c r="E456" s="227"/>
      <c r="F456" s="210"/>
      <c r="G456" s="227"/>
      <c r="H456" s="259"/>
      <c r="I456" s="146"/>
      <c r="J456" s="42"/>
      <c r="N456" s="146"/>
    </row>
    <row r="457" spans="1:14">
      <c r="A457" s="197"/>
      <c r="C457" s="331"/>
      <c r="E457" s="227"/>
      <c r="F457" s="210"/>
      <c r="G457" s="227"/>
      <c r="H457" s="259"/>
      <c r="I457" s="146"/>
      <c r="J457" s="42"/>
      <c r="N457" s="146"/>
    </row>
    <row r="458" spans="1:14">
      <c r="A458" s="197"/>
      <c r="C458" s="331"/>
      <c r="E458" s="227"/>
      <c r="F458" s="210"/>
      <c r="G458" s="227"/>
      <c r="H458" s="259"/>
      <c r="I458" s="146"/>
      <c r="J458" s="42"/>
      <c r="N458" s="146"/>
    </row>
    <row r="459" spans="1:14">
      <c r="A459" s="197"/>
      <c r="C459" s="331"/>
      <c r="E459" s="227"/>
      <c r="F459" s="210"/>
      <c r="G459" s="227"/>
      <c r="H459" s="259"/>
      <c r="I459" s="146"/>
      <c r="J459" s="42"/>
      <c r="N459" s="146"/>
    </row>
    <row r="460" spans="1:14">
      <c r="A460" s="197"/>
      <c r="C460" s="331"/>
      <c r="E460" s="227"/>
      <c r="F460" s="210"/>
      <c r="G460" s="227"/>
      <c r="H460" s="259"/>
      <c r="I460" s="146"/>
      <c r="J460" s="42"/>
      <c r="N460" s="146"/>
    </row>
    <row r="461" spans="1:14">
      <c r="A461" s="197"/>
      <c r="C461" s="331"/>
      <c r="E461" s="227"/>
      <c r="F461" s="210"/>
      <c r="G461" s="227"/>
      <c r="H461" s="259"/>
      <c r="I461" s="146"/>
      <c r="J461" s="42"/>
      <c r="N461" s="146"/>
    </row>
    <row r="462" spans="1:14">
      <c r="A462" s="197"/>
      <c r="C462" s="331"/>
      <c r="E462" s="227"/>
      <c r="F462" s="210"/>
      <c r="G462" s="227"/>
      <c r="H462" s="259"/>
      <c r="I462" s="146"/>
      <c r="J462" s="42"/>
      <c r="N462" s="146"/>
    </row>
    <row r="463" spans="1:14">
      <c r="A463" s="197"/>
      <c r="C463" s="331"/>
      <c r="E463" s="227"/>
      <c r="F463" s="210"/>
      <c r="G463" s="227"/>
      <c r="H463" s="259"/>
      <c r="I463" s="146"/>
      <c r="J463" s="42"/>
      <c r="N463" s="146"/>
    </row>
    <row r="464" spans="1:14">
      <c r="A464" s="197"/>
      <c r="C464" s="331"/>
      <c r="E464" s="227"/>
      <c r="F464" s="210"/>
      <c r="G464" s="227"/>
      <c r="H464" s="259"/>
      <c r="I464" s="146"/>
      <c r="J464" s="42"/>
      <c r="N464" s="146"/>
    </row>
    <row r="465" spans="1:14">
      <c r="A465" s="197"/>
      <c r="C465" s="331"/>
      <c r="E465" s="227"/>
      <c r="F465" s="210"/>
      <c r="G465" s="227"/>
      <c r="H465" s="259"/>
      <c r="I465" s="146"/>
      <c r="J465" s="42"/>
      <c r="N465" s="146"/>
    </row>
    <row r="466" spans="1:14">
      <c r="A466" s="197"/>
      <c r="C466" s="331"/>
      <c r="E466" s="227"/>
      <c r="F466" s="210"/>
      <c r="G466" s="227"/>
      <c r="H466" s="259"/>
      <c r="I466" s="146"/>
      <c r="J466" s="42"/>
      <c r="N466" s="146"/>
    </row>
    <row r="467" spans="1:14">
      <c r="A467" s="197"/>
      <c r="C467" s="331"/>
      <c r="E467" s="227"/>
      <c r="F467" s="210"/>
      <c r="G467" s="227"/>
      <c r="H467" s="259"/>
      <c r="I467" s="146"/>
      <c r="J467" s="42"/>
      <c r="N467" s="146"/>
    </row>
    <row r="468" spans="1:14">
      <c r="A468" s="197"/>
      <c r="C468" s="331"/>
      <c r="E468" s="227"/>
      <c r="F468" s="210"/>
      <c r="G468" s="227"/>
      <c r="H468" s="259"/>
      <c r="I468" s="146"/>
      <c r="J468" s="42"/>
      <c r="N468" s="146"/>
    </row>
    <row r="469" spans="1:14">
      <c r="A469" s="197"/>
      <c r="C469" s="331"/>
      <c r="E469" s="227"/>
      <c r="F469" s="210"/>
      <c r="G469" s="227"/>
      <c r="H469" s="259"/>
      <c r="I469" s="146"/>
      <c r="J469" s="42"/>
      <c r="N469" s="146"/>
    </row>
    <row r="470" spans="1:14">
      <c r="A470" s="197"/>
      <c r="C470" s="331"/>
      <c r="E470" s="227"/>
      <c r="F470" s="210"/>
      <c r="G470" s="227"/>
      <c r="H470" s="259"/>
      <c r="I470" s="146"/>
      <c r="J470" s="42"/>
      <c r="N470" s="146"/>
    </row>
    <row r="471" spans="1:14">
      <c r="A471" s="197"/>
      <c r="C471" s="331"/>
      <c r="E471" s="227"/>
      <c r="F471" s="210"/>
      <c r="G471" s="227"/>
      <c r="H471" s="259"/>
      <c r="I471" s="146"/>
      <c r="J471" s="42"/>
      <c r="N471" s="146"/>
    </row>
    <row r="472" spans="1:14">
      <c r="A472" s="197"/>
      <c r="C472" s="331"/>
      <c r="E472" s="227"/>
      <c r="F472" s="210"/>
      <c r="G472" s="227"/>
      <c r="H472" s="259"/>
      <c r="I472" s="146"/>
      <c r="J472" s="42"/>
      <c r="N472" s="146"/>
    </row>
    <row r="473" spans="1:14">
      <c r="A473" s="197"/>
      <c r="C473" s="331"/>
      <c r="E473" s="227"/>
      <c r="F473" s="210"/>
      <c r="G473" s="227"/>
      <c r="H473" s="259"/>
      <c r="I473" s="146"/>
      <c r="J473" s="42"/>
      <c r="N473" s="146"/>
    </row>
    <row r="474" spans="1:14">
      <c r="A474" s="197"/>
      <c r="C474" s="331"/>
      <c r="E474" s="227"/>
      <c r="F474" s="210"/>
      <c r="G474" s="227"/>
      <c r="H474" s="259"/>
      <c r="I474" s="146"/>
      <c r="J474" s="42"/>
      <c r="N474" s="146"/>
    </row>
    <row r="475" spans="1:14">
      <c r="A475" s="197"/>
      <c r="C475" s="331"/>
      <c r="E475" s="227"/>
      <c r="F475" s="210"/>
      <c r="G475" s="227"/>
      <c r="H475" s="259"/>
      <c r="I475" s="146"/>
      <c r="J475" s="42"/>
      <c r="N475" s="146"/>
    </row>
    <row r="476" spans="1:14">
      <c r="A476" s="197"/>
      <c r="C476" s="331"/>
      <c r="E476" s="227"/>
      <c r="F476" s="210"/>
      <c r="G476" s="227"/>
      <c r="H476" s="259"/>
      <c r="I476" s="146"/>
      <c r="J476" s="42"/>
      <c r="N476" s="146"/>
    </row>
    <row r="477" spans="1:14">
      <c r="A477" s="197"/>
      <c r="C477" s="331"/>
      <c r="E477" s="227"/>
      <c r="F477" s="210"/>
      <c r="G477" s="227"/>
      <c r="H477" s="259"/>
      <c r="I477" s="146"/>
      <c r="J477" s="42"/>
      <c r="N477" s="146"/>
    </row>
    <row r="478" spans="1:14">
      <c r="A478" s="197"/>
      <c r="C478" s="331"/>
      <c r="E478" s="227"/>
      <c r="F478" s="210"/>
      <c r="G478" s="227"/>
      <c r="H478" s="259"/>
      <c r="I478" s="146"/>
      <c r="J478" s="42"/>
      <c r="N478" s="146"/>
    </row>
    <row r="479" spans="1:14">
      <c r="A479" s="197"/>
      <c r="C479" s="331"/>
      <c r="E479" s="227"/>
      <c r="F479" s="210"/>
      <c r="G479" s="227"/>
      <c r="H479" s="259"/>
      <c r="I479" s="146"/>
      <c r="J479" s="42"/>
      <c r="N479" s="146"/>
    </row>
    <row r="480" spans="1:14">
      <c r="A480" s="197"/>
      <c r="C480" s="331"/>
      <c r="E480" s="227"/>
      <c r="F480" s="210"/>
      <c r="G480" s="227"/>
      <c r="H480" s="259"/>
      <c r="I480" s="146"/>
      <c r="J480" s="42"/>
      <c r="N480" s="146"/>
    </row>
    <row r="481" spans="1:14">
      <c r="A481" s="197"/>
      <c r="C481" s="331"/>
      <c r="E481" s="227"/>
      <c r="F481" s="210"/>
      <c r="G481" s="227"/>
      <c r="H481" s="259"/>
      <c r="I481" s="146"/>
      <c r="J481" s="42"/>
      <c r="N481" s="146"/>
    </row>
    <row r="482" spans="1:14">
      <c r="A482" s="197"/>
      <c r="C482" s="331"/>
      <c r="E482" s="227"/>
      <c r="F482" s="210"/>
      <c r="G482" s="227"/>
      <c r="H482" s="259"/>
      <c r="I482" s="146"/>
      <c r="J482" s="42"/>
      <c r="N482" s="146"/>
    </row>
    <row r="483" spans="1:14">
      <c r="A483" s="197"/>
      <c r="C483" s="331"/>
      <c r="E483" s="227"/>
      <c r="F483" s="210"/>
      <c r="G483" s="227"/>
      <c r="H483" s="259"/>
      <c r="I483" s="146"/>
      <c r="J483" s="42"/>
      <c r="N483" s="146"/>
    </row>
    <row r="484" spans="1:14">
      <c r="A484" s="197"/>
      <c r="C484" s="331"/>
      <c r="E484" s="227"/>
      <c r="F484" s="210"/>
      <c r="G484" s="227"/>
      <c r="H484" s="259"/>
      <c r="I484" s="146"/>
      <c r="J484" s="42"/>
      <c r="N484" s="146"/>
    </row>
    <row r="485" spans="1:14">
      <c r="A485" s="197"/>
      <c r="C485" s="331"/>
      <c r="E485" s="227"/>
      <c r="F485" s="210"/>
      <c r="G485" s="227"/>
      <c r="H485" s="259"/>
      <c r="I485" s="146"/>
      <c r="J485" s="42"/>
      <c r="N485" s="146"/>
    </row>
    <row r="486" spans="1:14">
      <c r="A486" s="197"/>
      <c r="C486" s="331"/>
      <c r="E486" s="227"/>
      <c r="F486" s="210"/>
      <c r="G486" s="227"/>
      <c r="H486" s="259"/>
      <c r="I486" s="146"/>
      <c r="J486" s="42"/>
      <c r="N486" s="146"/>
    </row>
    <row r="487" spans="1:14">
      <c r="A487" s="197"/>
      <c r="C487" s="331"/>
      <c r="E487" s="227"/>
      <c r="F487" s="210"/>
      <c r="G487" s="227"/>
      <c r="H487" s="259"/>
      <c r="I487" s="146"/>
      <c r="J487" s="42"/>
      <c r="N487" s="146"/>
    </row>
    <row r="488" spans="1:14">
      <c r="A488" s="197"/>
      <c r="C488" s="331"/>
      <c r="E488" s="227"/>
      <c r="F488" s="210"/>
      <c r="G488" s="227"/>
      <c r="H488" s="259"/>
      <c r="I488" s="146"/>
      <c r="J488" s="42"/>
      <c r="N488" s="146"/>
    </row>
    <row r="489" spans="1:14">
      <c r="A489" s="197"/>
      <c r="C489" s="331"/>
      <c r="E489" s="227"/>
      <c r="F489" s="210"/>
      <c r="G489" s="227"/>
      <c r="H489" s="259"/>
      <c r="I489" s="146"/>
      <c r="J489" s="42"/>
      <c r="N489" s="146"/>
    </row>
    <row r="490" spans="1:14">
      <c r="A490" s="197"/>
      <c r="C490" s="331"/>
      <c r="E490" s="227"/>
      <c r="F490" s="210"/>
      <c r="G490" s="227"/>
      <c r="H490" s="259"/>
      <c r="I490" s="146"/>
      <c r="J490" s="42"/>
      <c r="N490" s="146"/>
    </row>
    <row r="491" spans="1:14">
      <c r="A491" s="197"/>
      <c r="C491" s="331"/>
      <c r="E491" s="227"/>
      <c r="F491" s="210"/>
      <c r="G491" s="227"/>
      <c r="H491" s="259"/>
      <c r="I491" s="146"/>
      <c r="J491" s="42"/>
      <c r="N491" s="146"/>
    </row>
    <row r="492" spans="1:14">
      <c r="A492" s="197"/>
      <c r="C492" s="331"/>
      <c r="E492" s="227"/>
      <c r="F492" s="210"/>
      <c r="G492" s="227"/>
      <c r="H492" s="259"/>
      <c r="I492" s="146"/>
      <c r="J492" s="42"/>
      <c r="N492" s="146"/>
    </row>
    <row r="493" spans="1:14">
      <c r="A493" s="197"/>
      <c r="C493" s="331"/>
      <c r="E493" s="227"/>
      <c r="F493" s="210"/>
      <c r="G493" s="227"/>
      <c r="H493" s="259"/>
      <c r="I493" s="146"/>
      <c r="J493" s="42"/>
      <c r="N493" s="146"/>
    </row>
    <row r="494" spans="1:14">
      <c r="A494" s="197"/>
      <c r="C494" s="331"/>
      <c r="E494" s="227"/>
      <c r="F494" s="210"/>
      <c r="G494" s="227"/>
      <c r="H494" s="259"/>
      <c r="I494" s="146"/>
      <c r="J494" s="42"/>
      <c r="N494" s="146"/>
    </row>
    <row r="495" spans="1:14">
      <c r="A495" s="197"/>
      <c r="C495" s="331"/>
      <c r="E495" s="227"/>
      <c r="F495" s="210"/>
      <c r="G495" s="227"/>
      <c r="H495" s="259"/>
      <c r="I495" s="146"/>
      <c r="J495" s="42"/>
      <c r="N495" s="146"/>
    </row>
    <row r="496" spans="1:14">
      <c r="A496" s="197"/>
      <c r="C496" s="331"/>
      <c r="E496" s="227"/>
      <c r="F496" s="210"/>
      <c r="G496" s="227"/>
      <c r="H496" s="259"/>
      <c r="I496" s="146"/>
      <c r="J496" s="42"/>
      <c r="N496" s="146"/>
    </row>
    <row r="497" spans="1:14">
      <c r="A497" s="197"/>
      <c r="C497" s="331"/>
      <c r="E497" s="227"/>
      <c r="F497" s="210"/>
      <c r="G497" s="227"/>
      <c r="H497" s="259"/>
      <c r="I497" s="146"/>
      <c r="J497" s="42"/>
      <c r="N497" s="146"/>
    </row>
    <row r="498" spans="1:14">
      <c r="A498" s="197"/>
      <c r="C498" s="331"/>
      <c r="E498" s="227"/>
      <c r="F498" s="210"/>
      <c r="G498" s="227"/>
      <c r="H498" s="259"/>
      <c r="I498" s="146"/>
      <c r="J498" s="42"/>
      <c r="N498" s="146"/>
    </row>
    <row r="499" spans="1:14">
      <c r="A499" s="197"/>
      <c r="C499" s="331"/>
      <c r="E499" s="227"/>
      <c r="F499" s="210"/>
      <c r="G499" s="227"/>
      <c r="H499" s="259"/>
      <c r="I499" s="146"/>
      <c r="J499" s="42"/>
      <c r="N499" s="146"/>
    </row>
    <row r="500" spans="1:14">
      <c r="A500" s="197"/>
      <c r="C500" s="331"/>
      <c r="E500" s="227"/>
      <c r="F500" s="210"/>
      <c r="G500" s="227"/>
      <c r="H500" s="259"/>
      <c r="I500" s="146"/>
      <c r="J500" s="42"/>
      <c r="N500" s="146"/>
    </row>
    <row r="501" spans="1:14">
      <c r="A501" s="197"/>
      <c r="C501" s="331"/>
      <c r="E501" s="227"/>
      <c r="F501" s="210"/>
      <c r="G501" s="227"/>
      <c r="H501" s="259"/>
      <c r="I501" s="146"/>
      <c r="J501" s="42"/>
      <c r="N501" s="146"/>
    </row>
    <row r="502" spans="1:14">
      <c r="A502" s="197"/>
      <c r="C502" s="331"/>
      <c r="E502" s="227"/>
      <c r="F502" s="210"/>
      <c r="G502" s="227"/>
      <c r="H502" s="259"/>
      <c r="I502" s="146"/>
      <c r="J502" s="42"/>
      <c r="N502" s="146"/>
    </row>
    <row r="503" spans="1:14">
      <c r="A503" s="197"/>
      <c r="C503" s="331"/>
      <c r="E503" s="227"/>
      <c r="F503" s="210"/>
      <c r="G503" s="227"/>
      <c r="H503" s="259"/>
      <c r="I503" s="146"/>
      <c r="J503" s="42"/>
      <c r="N503" s="146"/>
    </row>
    <row r="504" spans="1:14">
      <c r="A504" s="197"/>
      <c r="C504" s="331"/>
      <c r="E504" s="227"/>
      <c r="F504" s="210"/>
      <c r="G504" s="227"/>
      <c r="H504" s="259"/>
      <c r="I504" s="146"/>
      <c r="J504" s="42"/>
      <c r="N504" s="146"/>
    </row>
    <row r="505" spans="1:14">
      <c r="A505" s="197"/>
      <c r="C505" s="331"/>
      <c r="E505" s="227"/>
      <c r="F505" s="210"/>
      <c r="G505" s="227"/>
      <c r="H505" s="259"/>
      <c r="I505" s="146"/>
      <c r="J505" s="42"/>
      <c r="N505" s="146"/>
    </row>
    <row r="506" spans="1:14">
      <c r="A506" s="197"/>
      <c r="C506" s="331"/>
      <c r="E506" s="227"/>
      <c r="F506" s="210"/>
      <c r="G506" s="227"/>
      <c r="H506" s="259"/>
      <c r="I506" s="146"/>
      <c r="J506" s="42"/>
      <c r="N506" s="146"/>
    </row>
    <row r="507" spans="1:14">
      <c r="A507" s="197"/>
      <c r="C507" s="331"/>
      <c r="E507" s="227"/>
      <c r="F507" s="210"/>
      <c r="G507" s="227"/>
      <c r="H507" s="259"/>
      <c r="I507" s="146"/>
      <c r="J507" s="42"/>
      <c r="N507" s="146"/>
    </row>
    <row r="508" spans="1:14">
      <c r="A508" s="197"/>
      <c r="C508" s="331"/>
      <c r="E508" s="227"/>
      <c r="F508" s="210"/>
      <c r="G508" s="227"/>
      <c r="H508" s="259"/>
      <c r="I508" s="146"/>
      <c r="J508" s="42"/>
      <c r="N508" s="146"/>
    </row>
    <row r="509" spans="1:14">
      <c r="A509" s="197"/>
      <c r="C509" s="331"/>
      <c r="E509" s="227"/>
      <c r="F509" s="210"/>
      <c r="G509" s="227"/>
      <c r="H509" s="259"/>
      <c r="I509" s="146"/>
      <c r="J509" s="42"/>
      <c r="N509" s="146"/>
    </row>
    <row r="510" spans="1:14">
      <c r="A510" s="197"/>
      <c r="C510" s="331"/>
      <c r="E510" s="227"/>
      <c r="F510" s="210"/>
      <c r="G510" s="227"/>
      <c r="H510" s="259"/>
      <c r="I510" s="146"/>
      <c r="J510" s="42"/>
      <c r="N510" s="146"/>
    </row>
    <row r="511" spans="1:14">
      <c r="A511" s="197"/>
      <c r="C511" s="331"/>
      <c r="E511" s="227"/>
      <c r="F511" s="210"/>
      <c r="G511" s="227"/>
      <c r="H511" s="259"/>
      <c r="I511" s="146"/>
      <c r="J511" s="42"/>
      <c r="N511" s="146"/>
    </row>
    <row r="512" spans="1:14">
      <c r="A512" s="197"/>
      <c r="C512" s="331"/>
      <c r="E512" s="227"/>
      <c r="F512" s="210"/>
      <c r="G512" s="227"/>
      <c r="H512" s="259"/>
      <c r="I512" s="146"/>
      <c r="J512" s="42"/>
      <c r="N512" s="146"/>
    </row>
    <row r="513" spans="1:14">
      <c r="A513" s="197"/>
      <c r="C513" s="331"/>
      <c r="E513" s="227"/>
      <c r="F513" s="210"/>
      <c r="G513" s="227"/>
      <c r="H513" s="259"/>
      <c r="I513" s="146"/>
      <c r="J513" s="42"/>
      <c r="N513" s="146"/>
    </row>
    <row r="514" spans="1:14">
      <c r="A514" s="197"/>
      <c r="C514" s="331"/>
      <c r="E514" s="227"/>
      <c r="F514" s="210"/>
      <c r="G514" s="227"/>
      <c r="H514" s="259"/>
      <c r="I514" s="146"/>
      <c r="J514" s="42"/>
      <c r="N514" s="146"/>
    </row>
    <row r="515" spans="1:14">
      <c r="A515" s="197"/>
      <c r="C515" s="331"/>
      <c r="E515" s="227"/>
      <c r="F515" s="210"/>
      <c r="G515" s="227"/>
      <c r="H515" s="259"/>
      <c r="I515" s="146"/>
      <c r="J515" s="42"/>
      <c r="N515" s="146"/>
    </row>
    <row r="516" spans="1:14">
      <c r="A516" s="197"/>
      <c r="C516" s="331"/>
      <c r="E516" s="227"/>
      <c r="F516" s="210"/>
      <c r="G516" s="227"/>
      <c r="H516" s="259"/>
      <c r="I516" s="146"/>
      <c r="J516" s="42"/>
      <c r="N516" s="146"/>
    </row>
    <row r="517" spans="1:14">
      <c r="A517" s="197"/>
      <c r="C517" s="331"/>
      <c r="E517" s="227"/>
      <c r="F517" s="210"/>
      <c r="G517" s="227"/>
      <c r="H517" s="259"/>
      <c r="I517" s="146"/>
      <c r="J517" s="42"/>
      <c r="N517" s="146"/>
    </row>
    <row r="518" spans="1:14">
      <c r="A518" s="197"/>
      <c r="C518" s="331"/>
      <c r="E518" s="227"/>
      <c r="F518" s="210"/>
      <c r="G518" s="227"/>
      <c r="H518" s="259"/>
      <c r="I518" s="146"/>
      <c r="J518" s="42"/>
      <c r="N518" s="146"/>
    </row>
    <row r="519" spans="1:14">
      <c r="A519" s="197"/>
      <c r="C519" s="331"/>
      <c r="E519" s="227"/>
      <c r="F519" s="210"/>
      <c r="G519" s="227"/>
      <c r="H519" s="259"/>
      <c r="I519" s="146"/>
      <c r="J519" s="42"/>
      <c r="N519" s="146"/>
    </row>
    <row r="520" spans="1:14">
      <c r="A520" s="197"/>
      <c r="C520" s="331"/>
      <c r="E520" s="227"/>
      <c r="F520" s="210"/>
      <c r="G520" s="227"/>
      <c r="H520" s="259"/>
      <c r="I520" s="146"/>
      <c r="J520" s="42"/>
      <c r="N520" s="146"/>
    </row>
    <row r="521" spans="1:14">
      <c r="A521" s="197"/>
      <c r="C521" s="331"/>
      <c r="E521" s="227"/>
      <c r="F521" s="210"/>
      <c r="G521" s="227"/>
      <c r="H521" s="259"/>
      <c r="I521" s="146"/>
      <c r="J521" s="42"/>
      <c r="N521" s="146"/>
    </row>
    <row r="522" spans="1:14">
      <c r="A522" s="197"/>
      <c r="C522" s="331"/>
      <c r="E522" s="227"/>
      <c r="F522" s="210"/>
      <c r="G522" s="227"/>
      <c r="H522" s="259"/>
      <c r="I522" s="146"/>
      <c r="J522" s="42"/>
      <c r="N522" s="146"/>
    </row>
    <row r="523" spans="1:14">
      <c r="A523" s="197"/>
      <c r="C523" s="331"/>
      <c r="E523" s="227"/>
      <c r="F523" s="210"/>
      <c r="G523" s="227"/>
      <c r="H523" s="259"/>
      <c r="I523" s="146"/>
      <c r="J523" s="42"/>
      <c r="N523" s="146"/>
    </row>
    <row r="524" spans="1:14">
      <c r="A524" s="197"/>
      <c r="C524" s="331"/>
      <c r="E524" s="227"/>
      <c r="F524" s="210"/>
      <c r="G524" s="227"/>
      <c r="H524" s="259"/>
      <c r="I524" s="146"/>
      <c r="J524" s="42"/>
      <c r="N524" s="146"/>
    </row>
    <row r="525" spans="1:14">
      <c r="A525" s="197"/>
      <c r="C525" s="331"/>
      <c r="E525" s="227"/>
      <c r="F525" s="210"/>
      <c r="G525" s="227"/>
      <c r="H525" s="259"/>
      <c r="I525" s="146"/>
      <c r="J525" s="42"/>
      <c r="N525" s="146"/>
    </row>
    <row r="526" spans="1:14">
      <c r="A526" s="197"/>
      <c r="C526" s="331"/>
      <c r="E526" s="227"/>
      <c r="F526" s="210"/>
      <c r="G526" s="227"/>
      <c r="H526" s="259"/>
      <c r="I526" s="146"/>
      <c r="J526" s="42"/>
      <c r="N526" s="146"/>
    </row>
    <row r="527" spans="1:14">
      <c r="A527" s="197"/>
      <c r="C527" s="331"/>
      <c r="E527" s="227"/>
      <c r="F527" s="210"/>
      <c r="G527" s="227"/>
      <c r="H527" s="259"/>
      <c r="I527" s="146"/>
      <c r="J527" s="42"/>
      <c r="N527" s="146"/>
    </row>
    <row r="528" spans="1:14">
      <c r="A528" s="197"/>
      <c r="C528" s="331"/>
      <c r="E528" s="227"/>
      <c r="F528" s="210"/>
      <c r="G528" s="227"/>
      <c r="H528" s="259"/>
      <c r="I528" s="146"/>
      <c r="J528" s="42"/>
      <c r="N528" s="146"/>
    </row>
    <row r="529" spans="1:14">
      <c r="A529" s="197"/>
      <c r="C529" s="331"/>
      <c r="E529" s="227"/>
      <c r="F529" s="210"/>
      <c r="G529" s="227"/>
      <c r="H529" s="259"/>
      <c r="I529" s="146"/>
      <c r="J529" s="42"/>
      <c r="N529" s="146"/>
    </row>
    <row r="530" spans="1:14">
      <c r="A530" s="197"/>
      <c r="C530" s="331"/>
      <c r="E530" s="227"/>
      <c r="F530" s="210"/>
      <c r="G530" s="227"/>
      <c r="H530" s="259"/>
      <c r="I530" s="146"/>
      <c r="J530" s="42"/>
      <c r="N530" s="146"/>
    </row>
    <row r="531" spans="1:14">
      <c r="A531" s="197"/>
      <c r="C531" s="331"/>
      <c r="E531" s="227"/>
      <c r="F531" s="210"/>
      <c r="G531" s="227"/>
      <c r="H531" s="259"/>
      <c r="I531" s="146"/>
      <c r="J531" s="42"/>
      <c r="N531" s="146"/>
    </row>
    <row r="532" spans="1:14">
      <c r="A532" s="197"/>
      <c r="C532" s="331"/>
      <c r="E532" s="227"/>
      <c r="F532" s="210"/>
      <c r="G532" s="227"/>
      <c r="H532" s="259"/>
      <c r="I532" s="146"/>
      <c r="J532" s="42"/>
      <c r="N532" s="146"/>
    </row>
    <row r="533" spans="1:14">
      <c r="A533" s="197"/>
      <c r="C533" s="331"/>
      <c r="E533" s="227"/>
      <c r="F533" s="210"/>
      <c r="G533" s="227"/>
      <c r="H533" s="259"/>
      <c r="I533" s="146"/>
      <c r="J533" s="42"/>
      <c r="N533" s="146"/>
    </row>
    <row r="534" spans="1:14">
      <c r="A534" s="197"/>
      <c r="C534" s="331"/>
      <c r="E534" s="227"/>
      <c r="F534" s="210"/>
      <c r="G534" s="227"/>
      <c r="H534" s="259"/>
      <c r="I534" s="146"/>
      <c r="J534" s="42"/>
      <c r="N534" s="146"/>
    </row>
    <row r="535" spans="1:14">
      <c r="A535" s="197"/>
      <c r="C535" s="331"/>
      <c r="E535" s="227"/>
      <c r="F535" s="210"/>
      <c r="G535" s="227"/>
      <c r="H535" s="259"/>
      <c r="I535" s="146"/>
      <c r="J535" s="42"/>
      <c r="N535" s="146"/>
    </row>
    <row r="536" spans="1:14">
      <c r="A536" s="197"/>
      <c r="C536" s="331"/>
      <c r="E536" s="227"/>
      <c r="F536" s="210"/>
      <c r="G536" s="227"/>
      <c r="H536" s="259"/>
      <c r="I536" s="146"/>
      <c r="J536" s="42"/>
      <c r="N536" s="146"/>
    </row>
    <row r="537" spans="1:14">
      <c r="A537" s="197"/>
      <c r="C537" s="331"/>
      <c r="E537" s="227"/>
      <c r="F537" s="210"/>
      <c r="G537" s="227"/>
      <c r="H537" s="259"/>
      <c r="I537" s="146"/>
      <c r="J537" s="42"/>
      <c r="N537" s="146"/>
    </row>
    <row r="538" spans="1:14">
      <c r="A538" s="197"/>
      <c r="C538" s="331"/>
      <c r="E538" s="227"/>
      <c r="F538" s="210"/>
      <c r="G538" s="227"/>
      <c r="H538" s="259"/>
      <c r="I538" s="146"/>
      <c r="J538" s="42"/>
      <c r="N538" s="146"/>
    </row>
    <row r="539" spans="1:14">
      <c r="A539" s="197"/>
      <c r="C539" s="331"/>
      <c r="E539" s="227"/>
      <c r="F539" s="210"/>
      <c r="G539" s="227"/>
      <c r="H539" s="259"/>
      <c r="I539" s="146"/>
      <c r="J539" s="42"/>
      <c r="N539" s="146"/>
    </row>
    <row r="540" spans="1:14">
      <c r="A540" s="197"/>
      <c r="C540" s="331"/>
      <c r="E540" s="227"/>
      <c r="F540" s="210"/>
      <c r="G540" s="227"/>
      <c r="H540" s="259"/>
      <c r="I540" s="146"/>
      <c r="J540" s="42"/>
      <c r="N540" s="146"/>
    </row>
    <row r="541" spans="1:14">
      <c r="A541" s="197"/>
      <c r="C541" s="331"/>
      <c r="E541" s="227"/>
      <c r="F541" s="210"/>
      <c r="G541" s="227"/>
      <c r="H541" s="259"/>
      <c r="I541" s="146"/>
      <c r="J541" s="42"/>
      <c r="N541" s="146"/>
    </row>
    <row r="542" spans="1:14">
      <c r="A542" s="197"/>
      <c r="C542" s="331"/>
      <c r="E542" s="227"/>
      <c r="F542" s="210"/>
      <c r="G542" s="227"/>
      <c r="H542" s="259"/>
      <c r="I542" s="146"/>
      <c r="J542" s="42"/>
      <c r="N542" s="146"/>
    </row>
    <row r="543" spans="1:14">
      <c r="A543" s="197"/>
      <c r="C543" s="331"/>
      <c r="E543" s="227"/>
      <c r="F543" s="210"/>
      <c r="G543" s="227"/>
      <c r="H543" s="259"/>
      <c r="I543" s="146"/>
      <c r="J543" s="42"/>
      <c r="N543" s="146"/>
    </row>
    <row r="544" spans="1:14">
      <c r="A544" s="197"/>
      <c r="C544" s="331"/>
      <c r="E544" s="227"/>
      <c r="F544" s="210"/>
      <c r="G544" s="227"/>
      <c r="H544" s="259"/>
      <c r="I544" s="146"/>
      <c r="J544" s="42"/>
      <c r="N544" s="146"/>
    </row>
    <row r="545" spans="1:14">
      <c r="A545" s="197"/>
      <c r="C545" s="331"/>
      <c r="E545" s="227"/>
      <c r="F545" s="210"/>
      <c r="G545" s="227"/>
      <c r="H545" s="259"/>
      <c r="I545" s="146"/>
      <c r="J545" s="42"/>
      <c r="N545" s="146"/>
    </row>
    <row r="546" spans="1:14">
      <c r="A546" s="197"/>
      <c r="C546" s="331"/>
      <c r="E546" s="227"/>
      <c r="F546" s="210"/>
      <c r="G546" s="227"/>
      <c r="H546" s="259"/>
      <c r="I546" s="146"/>
      <c r="J546" s="42"/>
      <c r="N546" s="146"/>
    </row>
    <row r="547" spans="1:14">
      <c r="A547" s="197"/>
      <c r="C547" s="331"/>
      <c r="E547" s="227"/>
      <c r="F547" s="210"/>
      <c r="G547" s="227"/>
      <c r="H547" s="259"/>
      <c r="I547" s="146"/>
      <c r="J547" s="42"/>
      <c r="N547" s="146"/>
    </row>
    <row r="548" spans="1:14">
      <c r="A548" s="197"/>
      <c r="C548" s="331"/>
      <c r="E548" s="227"/>
      <c r="F548" s="210"/>
      <c r="G548" s="227"/>
      <c r="H548" s="259"/>
      <c r="I548" s="146"/>
      <c r="J548" s="42"/>
      <c r="N548" s="146"/>
    </row>
    <row r="549" spans="1:14">
      <c r="A549" s="197"/>
      <c r="C549" s="331"/>
      <c r="E549" s="227"/>
      <c r="F549" s="210"/>
      <c r="G549" s="227"/>
      <c r="H549" s="259"/>
      <c r="I549" s="146"/>
      <c r="J549" s="42"/>
      <c r="N549" s="146"/>
    </row>
    <row r="550" spans="1:14">
      <c r="A550" s="197"/>
      <c r="C550" s="331"/>
      <c r="E550" s="227"/>
      <c r="F550" s="210"/>
      <c r="G550" s="227"/>
      <c r="H550" s="259"/>
      <c r="I550" s="146"/>
      <c r="J550" s="42"/>
      <c r="N550" s="146"/>
    </row>
    <row r="551" spans="1:14">
      <c r="A551" s="197"/>
      <c r="C551" s="331"/>
      <c r="E551" s="227"/>
      <c r="F551" s="210"/>
      <c r="G551" s="227"/>
      <c r="H551" s="259"/>
      <c r="I551" s="146"/>
      <c r="J551" s="42"/>
      <c r="N551" s="146"/>
    </row>
    <row r="552" spans="1:14">
      <c r="A552" s="197"/>
      <c r="C552" s="331"/>
      <c r="E552" s="227"/>
      <c r="F552" s="210"/>
      <c r="G552" s="227"/>
      <c r="H552" s="259"/>
      <c r="I552" s="146"/>
      <c r="J552" s="42"/>
      <c r="N552" s="146"/>
    </row>
    <row r="553" spans="1:14">
      <c r="A553" s="197"/>
      <c r="C553" s="331"/>
      <c r="E553" s="227"/>
      <c r="F553" s="210"/>
      <c r="G553" s="227"/>
      <c r="H553" s="259"/>
      <c r="I553" s="146"/>
      <c r="J553" s="42"/>
      <c r="N553" s="146"/>
    </row>
    <row r="554" spans="1:14">
      <c r="A554" s="197"/>
      <c r="C554" s="331"/>
      <c r="E554" s="227"/>
      <c r="F554" s="210"/>
      <c r="G554" s="227"/>
      <c r="H554" s="259"/>
      <c r="I554" s="146"/>
      <c r="J554" s="42"/>
      <c r="N554" s="146"/>
    </row>
    <row r="555" spans="1:14">
      <c r="A555" s="197"/>
      <c r="C555" s="331"/>
      <c r="E555" s="227"/>
      <c r="F555" s="210"/>
      <c r="G555" s="227"/>
      <c r="H555" s="259"/>
      <c r="I555" s="146"/>
      <c r="J555" s="42"/>
      <c r="N555" s="146"/>
    </row>
    <row r="556" spans="1:14">
      <c r="A556" s="197"/>
      <c r="C556" s="331"/>
      <c r="E556" s="227"/>
      <c r="F556" s="210"/>
      <c r="G556" s="227"/>
      <c r="H556" s="259"/>
      <c r="I556" s="146"/>
      <c r="J556" s="42"/>
      <c r="N556" s="146"/>
    </row>
    <row r="557" spans="1:14">
      <c r="A557" s="197"/>
      <c r="C557" s="331"/>
      <c r="E557" s="227"/>
      <c r="F557" s="210"/>
      <c r="G557" s="227"/>
      <c r="H557" s="259"/>
      <c r="I557" s="146"/>
      <c r="J557" s="42"/>
      <c r="N557" s="146"/>
    </row>
    <row r="558" spans="1:14">
      <c r="A558" s="197"/>
      <c r="C558" s="331"/>
      <c r="E558" s="227"/>
      <c r="F558" s="210"/>
      <c r="G558" s="227"/>
      <c r="H558" s="259"/>
      <c r="I558" s="146"/>
      <c r="J558" s="42"/>
      <c r="N558" s="146"/>
    </row>
    <row r="559" spans="1:14">
      <c r="A559" s="197"/>
      <c r="C559" s="331"/>
      <c r="E559" s="227"/>
      <c r="F559" s="210"/>
      <c r="G559" s="227"/>
      <c r="H559" s="259"/>
      <c r="I559" s="146"/>
      <c r="J559" s="42"/>
      <c r="N559" s="146"/>
    </row>
    <row r="560" spans="1:14">
      <c r="A560" s="197"/>
      <c r="C560" s="331"/>
      <c r="E560" s="227"/>
      <c r="F560" s="210"/>
      <c r="G560" s="227"/>
      <c r="H560" s="259"/>
      <c r="I560" s="146"/>
      <c r="J560" s="42"/>
      <c r="N560" s="146"/>
    </row>
    <row r="561" spans="1:14">
      <c r="A561" s="197"/>
      <c r="C561" s="331"/>
      <c r="E561" s="227"/>
      <c r="F561" s="210"/>
      <c r="G561" s="227"/>
      <c r="H561" s="259"/>
      <c r="I561" s="146"/>
      <c r="J561" s="42"/>
      <c r="N561" s="146"/>
    </row>
    <row r="562" spans="1:14">
      <c r="A562" s="197"/>
      <c r="C562" s="331"/>
      <c r="E562" s="227"/>
      <c r="F562" s="210"/>
      <c r="G562" s="227"/>
      <c r="H562" s="259"/>
      <c r="I562" s="146"/>
      <c r="J562" s="42"/>
      <c r="N562" s="146"/>
    </row>
    <row r="563" spans="1:14">
      <c r="A563" s="197"/>
      <c r="C563" s="331"/>
      <c r="E563" s="227"/>
      <c r="F563" s="210"/>
      <c r="G563" s="227"/>
      <c r="H563" s="259"/>
      <c r="I563" s="146"/>
      <c r="J563" s="42"/>
      <c r="N563" s="146"/>
    </row>
    <row r="564" spans="1:14">
      <c r="A564" s="197"/>
      <c r="C564" s="331"/>
      <c r="E564" s="227"/>
      <c r="F564" s="210"/>
      <c r="G564" s="227"/>
      <c r="H564" s="259"/>
      <c r="I564" s="146"/>
      <c r="J564" s="42"/>
      <c r="N564" s="146"/>
    </row>
    <row r="565" spans="1:14">
      <c r="A565" s="197"/>
      <c r="C565" s="331"/>
      <c r="E565" s="227"/>
      <c r="F565" s="210"/>
      <c r="G565" s="227"/>
      <c r="H565" s="259"/>
      <c r="I565" s="146"/>
      <c r="J565" s="42"/>
      <c r="N565" s="146"/>
    </row>
    <row r="566" spans="1:14">
      <c r="A566" s="197"/>
      <c r="C566" s="331"/>
      <c r="E566" s="227"/>
      <c r="F566" s="210"/>
      <c r="G566" s="227"/>
      <c r="H566" s="259"/>
      <c r="I566" s="146"/>
      <c r="J566" s="42"/>
      <c r="N566" s="146"/>
    </row>
    <row r="567" spans="1:14">
      <c r="A567" s="197"/>
      <c r="C567" s="331"/>
      <c r="E567" s="227"/>
      <c r="F567" s="210"/>
      <c r="G567" s="227"/>
      <c r="H567" s="259"/>
      <c r="I567" s="146"/>
      <c r="J567" s="42"/>
      <c r="N567" s="146"/>
    </row>
    <row r="568" spans="1:14">
      <c r="A568" s="197"/>
      <c r="C568" s="331"/>
      <c r="E568" s="227"/>
      <c r="F568" s="210"/>
      <c r="G568" s="227"/>
      <c r="H568" s="259"/>
      <c r="I568" s="146"/>
      <c r="J568" s="42"/>
      <c r="N568" s="146"/>
    </row>
    <row r="569" spans="1:14">
      <c r="A569" s="197"/>
      <c r="C569" s="331"/>
      <c r="E569" s="227"/>
      <c r="F569" s="210"/>
      <c r="G569" s="227"/>
      <c r="H569" s="259"/>
      <c r="I569" s="146"/>
      <c r="J569" s="42"/>
      <c r="N569" s="146"/>
    </row>
    <row r="570" spans="1:14">
      <c r="A570" s="197"/>
      <c r="C570" s="331"/>
      <c r="E570" s="227"/>
      <c r="F570" s="210"/>
      <c r="G570" s="227"/>
      <c r="H570" s="259"/>
      <c r="I570" s="146"/>
      <c r="J570" s="42"/>
      <c r="N570" s="146"/>
    </row>
    <row r="571" spans="1:14">
      <c r="A571" s="197"/>
      <c r="C571" s="331"/>
      <c r="E571" s="227"/>
      <c r="F571" s="210"/>
      <c r="G571" s="227"/>
      <c r="H571" s="259"/>
      <c r="I571" s="146"/>
      <c r="J571" s="42"/>
      <c r="N571" s="146"/>
    </row>
    <row r="572" spans="1:14">
      <c r="A572" s="197"/>
      <c r="C572" s="331"/>
      <c r="E572" s="227"/>
      <c r="F572" s="210"/>
      <c r="G572" s="227"/>
      <c r="H572" s="259"/>
      <c r="I572" s="146"/>
      <c r="J572" s="42"/>
      <c r="N572" s="146"/>
    </row>
    <row r="573" spans="1:14">
      <c r="A573" s="197"/>
      <c r="C573" s="331"/>
      <c r="E573" s="227"/>
      <c r="F573" s="210"/>
      <c r="G573" s="227"/>
      <c r="H573" s="259"/>
      <c r="I573" s="146"/>
      <c r="J573" s="42"/>
      <c r="N573" s="146"/>
    </row>
    <row r="574" spans="1:14">
      <c r="A574" s="197"/>
      <c r="C574" s="331"/>
      <c r="E574" s="227"/>
      <c r="F574" s="210"/>
      <c r="G574" s="227"/>
      <c r="H574" s="259"/>
      <c r="I574" s="146"/>
      <c r="J574" s="42"/>
      <c r="N574" s="146"/>
    </row>
    <row r="575" spans="1:14">
      <c r="A575" s="197"/>
      <c r="C575" s="331"/>
      <c r="E575" s="227"/>
      <c r="F575" s="210"/>
      <c r="G575" s="227"/>
      <c r="H575" s="259"/>
      <c r="I575" s="146"/>
      <c r="J575" s="42"/>
      <c r="N575" s="146"/>
    </row>
    <row r="576" spans="1:14">
      <c r="A576" s="197"/>
      <c r="C576" s="331"/>
      <c r="E576" s="227"/>
      <c r="F576" s="210"/>
      <c r="G576" s="227"/>
      <c r="H576" s="259"/>
      <c r="I576" s="146"/>
      <c r="J576" s="42"/>
      <c r="N576" s="146"/>
    </row>
    <row r="577" spans="1:14">
      <c r="A577" s="197"/>
      <c r="C577" s="331"/>
      <c r="E577" s="227"/>
      <c r="F577" s="210"/>
      <c r="G577" s="227"/>
      <c r="H577" s="259"/>
      <c r="I577" s="146"/>
      <c r="J577" s="42"/>
      <c r="N577" s="146"/>
    </row>
    <row r="578" spans="1:14">
      <c r="A578" s="197"/>
      <c r="C578" s="331"/>
      <c r="E578" s="227"/>
      <c r="F578" s="210"/>
      <c r="G578" s="227"/>
      <c r="H578" s="259"/>
      <c r="I578" s="146"/>
      <c r="J578" s="42"/>
      <c r="N578" s="146"/>
    </row>
    <row r="579" spans="1:14">
      <c r="A579" s="197"/>
      <c r="C579" s="331"/>
      <c r="E579" s="227"/>
      <c r="F579" s="210"/>
      <c r="G579" s="227"/>
      <c r="H579" s="259"/>
      <c r="I579" s="146"/>
      <c r="J579" s="42"/>
      <c r="N579" s="146"/>
    </row>
    <row r="580" spans="1:14">
      <c r="A580" s="197"/>
      <c r="C580" s="331"/>
      <c r="E580" s="227"/>
      <c r="F580" s="210"/>
      <c r="G580" s="227"/>
      <c r="H580" s="259"/>
      <c r="I580" s="146"/>
      <c r="J580" s="42"/>
      <c r="N580" s="146"/>
    </row>
    <row r="581" spans="1:14">
      <c r="A581" s="197"/>
      <c r="C581" s="331"/>
      <c r="E581" s="227"/>
      <c r="F581" s="210"/>
      <c r="G581" s="227"/>
      <c r="H581" s="259"/>
      <c r="I581" s="146"/>
      <c r="J581" s="42"/>
      <c r="N581" s="146"/>
    </row>
    <row r="582" spans="1:14">
      <c r="A582" s="197"/>
      <c r="C582" s="331"/>
      <c r="E582" s="227"/>
      <c r="F582" s="210"/>
      <c r="G582" s="227"/>
      <c r="H582" s="259"/>
      <c r="I582" s="146"/>
      <c r="J582" s="42"/>
      <c r="N582" s="146"/>
    </row>
    <row r="583" spans="1:14">
      <c r="A583" s="197"/>
      <c r="C583" s="331"/>
      <c r="E583" s="227"/>
      <c r="F583" s="210"/>
      <c r="G583" s="227"/>
      <c r="H583" s="259"/>
      <c r="I583" s="146"/>
      <c r="J583" s="42"/>
      <c r="N583" s="146"/>
    </row>
    <row r="584" spans="1:14">
      <c r="A584" s="197"/>
      <c r="C584" s="331"/>
      <c r="E584" s="227"/>
      <c r="F584" s="210"/>
      <c r="G584" s="227"/>
      <c r="H584" s="259"/>
      <c r="I584" s="146"/>
      <c r="J584" s="42"/>
      <c r="N584" s="146"/>
    </row>
    <row r="585" spans="1:14">
      <c r="A585" s="197"/>
      <c r="C585" s="331"/>
      <c r="E585" s="227"/>
      <c r="F585" s="210"/>
      <c r="G585" s="227"/>
      <c r="H585" s="259"/>
      <c r="I585" s="146"/>
      <c r="J585" s="42"/>
      <c r="N585" s="146"/>
    </row>
    <row r="586" spans="1:14">
      <c r="A586" s="197"/>
      <c r="C586" s="331"/>
      <c r="E586" s="227"/>
      <c r="F586" s="210"/>
      <c r="G586" s="227"/>
      <c r="H586" s="259"/>
      <c r="I586" s="146"/>
      <c r="J586" s="42"/>
      <c r="N586" s="146"/>
    </row>
    <row r="587" spans="1:14">
      <c r="A587" s="197"/>
      <c r="C587" s="331"/>
      <c r="E587" s="227"/>
      <c r="F587" s="210"/>
      <c r="G587" s="227"/>
      <c r="H587" s="259"/>
      <c r="I587" s="146"/>
      <c r="J587" s="42"/>
      <c r="N587" s="146"/>
    </row>
    <row r="588" spans="1:14">
      <c r="A588" s="197"/>
      <c r="C588" s="331"/>
      <c r="E588" s="227"/>
      <c r="F588" s="210"/>
      <c r="G588" s="227"/>
      <c r="H588" s="259"/>
      <c r="I588" s="146"/>
      <c r="J588" s="42"/>
      <c r="N588" s="146"/>
    </row>
    <row r="589" spans="1:14">
      <c r="A589" s="197"/>
      <c r="C589" s="331"/>
      <c r="E589" s="227"/>
      <c r="F589" s="210"/>
      <c r="G589" s="227"/>
      <c r="H589" s="259"/>
      <c r="I589" s="146"/>
      <c r="J589" s="42"/>
      <c r="N589" s="146"/>
    </row>
    <row r="590" spans="1:14">
      <c r="A590" s="197"/>
      <c r="C590" s="331"/>
      <c r="E590" s="227"/>
      <c r="F590" s="210"/>
      <c r="G590" s="227"/>
      <c r="H590" s="259"/>
      <c r="I590" s="146"/>
      <c r="J590" s="42"/>
      <c r="N590" s="146"/>
    </row>
    <row r="591" spans="1:14">
      <c r="A591" s="197"/>
      <c r="C591" s="331"/>
      <c r="E591" s="227"/>
      <c r="F591" s="210"/>
      <c r="G591" s="227"/>
      <c r="H591" s="259"/>
      <c r="I591" s="146"/>
      <c r="J591" s="42"/>
      <c r="N591" s="146"/>
    </row>
    <row r="592" spans="1:14">
      <c r="A592" s="197"/>
      <c r="C592" s="331"/>
      <c r="E592" s="227"/>
      <c r="F592" s="210"/>
      <c r="G592" s="227"/>
      <c r="H592" s="259"/>
      <c r="I592" s="146"/>
      <c r="J592" s="42"/>
      <c r="N592" s="146"/>
    </row>
    <row r="593" spans="1:14">
      <c r="A593" s="197"/>
      <c r="C593" s="331"/>
      <c r="E593" s="227"/>
      <c r="F593" s="210"/>
      <c r="G593" s="227"/>
      <c r="H593" s="259"/>
      <c r="I593" s="146"/>
      <c r="J593" s="42"/>
      <c r="N593" s="146"/>
    </row>
    <row r="594" spans="1:14">
      <c r="A594" s="197"/>
      <c r="C594" s="331"/>
      <c r="E594" s="227"/>
      <c r="F594" s="210"/>
      <c r="G594" s="227"/>
      <c r="H594" s="259"/>
      <c r="I594" s="146"/>
      <c r="J594" s="42"/>
      <c r="N594" s="146"/>
    </row>
    <row r="595" spans="1:14">
      <c r="A595" s="197"/>
      <c r="C595" s="331"/>
      <c r="E595" s="227"/>
      <c r="F595" s="210"/>
      <c r="G595" s="227"/>
      <c r="H595" s="259"/>
      <c r="I595" s="146"/>
      <c r="J595" s="42"/>
      <c r="N595" s="146"/>
    </row>
    <row r="596" spans="1:14">
      <c r="A596" s="197"/>
      <c r="C596" s="331"/>
      <c r="E596" s="227"/>
      <c r="F596" s="210"/>
      <c r="G596" s="227"/>
      <c r="H596" s="259"/>
      <c r="I596" s="146"/>
      <c r="J596" s="42"/>
      <c r="N596" s="146"/>
    </row>
    <row r="597" spans="1:14">
      <c r="A597" s="197"/>
      <c r="C597" s="331"/>
      <c r="E597" s="227"/>
      <c r="F597" s="210"/>
      <c r="G597" s="227"/>
      <c r="H597" s="259"/>
      <c r="I597" s="146"/>
      <c r="J597" s="42"/>
      <c r="N597" s="146"/>
    </row>
    <row r="598" spans="1:14">
      <c r="A598" s="197"/>
      <c r="C598" s="331"/>
      <c r="E598" s="227"/>
      <c r="F598" s="210"/>
      <c r="G598" s="227"/>
      <c r="H598" s="259"/>
      <c r="I598" s="146"/>
      <c r="J598" s="42"/>
      <c r="N598" s="146"/>
    </row>
    <row r="599" spans="1:14">
      <c r="A599" s="197"/>
      <c r="C599" s="331"/>
      <c r="E599" s="227"/>
      <c r="F599" s="210"/>
      <c r="G599" s="227"/>
      <c r="H599" s="259"/>
      <c r="I599" s="146"/>
      <c r="J599" s="42"/>
      <c r="N599" s="146"/>
    </row>
    <row r="600" spans="1:14">
      <c r="A600" s="197"/>
      <c r="C600" s="331"/>
      <c r="E600" s="227"/>
      <c r="F600" s="210"/>
      <c r="G600" s="227"/>
      <c r="H600" s="259"/>
      <c r="I600" s="146"/>
      <c r="J600" s="42"/>
      <c r="N600" s="146"/>
    </row>
    <row r="601" spans="1:14">
      <c r="A601" s="197"/>
      <c r="C601" s="331"/>
      <c r="E601" s="227"/>
      <c r="F601" s="210"/>
      <c r="G601" s="227"/>
      <c r="H601" s="259"/>
      <c r="I601" s="146"/>
      <c r="J601" s="42"/>
      <c r="N601" s="146"/>
    </row>
    <row r="602" spans="1:14">
      <c r="A602" s="197"/>
      <c r="C602" s="331"/>
      <c r="E602" s="227"/>
      <c r="F602" s="210"/>
      <c r="G602" s="227"/>
      <c r="H602" s="259"/>
      <c r="I602" s="146"/>
      <c r="J602" s="42"/>
      <c r="N602" s="146"/>
    </row>
    <row r="603" spans="1:14">
      <c r="A603" s="197"/>
      <c r="C603" s="331"/>
      <c r="E603" s="227"/>
      <c r="F603" s="210"/>
      <c r="G603" s="227"/>
      <c r="H603" s="259"/>
      <c r="I603" s="146"/>
      <c r="J603" s="42"/>
      <c r="N603" s="146"/>
    </row>
    <row r="604" spans="1:14">
      <c r="A604" s="197"/>
      <c r="C604" s="331"/>
      <c r="E604" s="227"/>
      <c r="F604" s="210"/>
      <c r="G604" s="227"/>
      <c r="H604" s="259"/>
      <c r="I604" s="146"/>
      <c r="J604" s="42"/>
      <c r="N604" s="146"/>
    </row>
    <row r="605" spans="1:14">
      <c r="A605" s="197"/>
      <c r="C605" s="331"/>
      <c r="E605" s="227"/>
      <c r="F605" s="210"/>
      <c r="G605" s="227"/>
      <c r="H605" s="259"/>
      <c r="I605" s="146"/>
      <c r="J605" s="42"/>
      <c r="N605" s="146"/>
    </row>
    <row r="606" spans="1:14">
      <c r="A606" s="197"/>
      <c r="C606" s="331"/>
      <c r="E606" s="227"/>
      <c r="F606" s="210"/>
      <c r="G606" s="227"/>
      <c r="H606" s="259"/>
      <c r="I606" s="146"/>
      <c r="J606" s="42"/>
      <c r="N606" s="146"/>
    </row>
    <row r="607" spans="1:14">
      <c r="A607" s="197"/>
      <c r="C607" s="331"/>
      <c r="E607" s="227"/>
      <c r="F607" s="210"/>
      <c r="G607" s="227"/>
      <c r="H607" s="259"/>
      <c r="I607" s="146"/>
      <c r="J607" s="42"/>
      <c r="N607" s="146"/>
    </row>
    <row r="608" spans="1:14">
      <c r="A608" s="197"/>
      <c r="C608" s="331"/>
      <c r="E608" s="227"/>
      <c r="F608" s="210"/>
      <c r="G608" s="227"/>
      <c r="H608" s="259"/>
      <c r="I608" s="146"/>
      <c r="J608" s="42"/>
      <c r="N608" s="146"/>
    </row>
    <row r="609" spans="1:14">
      <c r="A609" s="197"/>
      <c r="C609" s="331"/>
      <c r="E609" s="227"/>
      <c r="F609" s="210"/>
      <c r="G609" s="227"/>
      <c r="H609" s="259"/>
      <c r="I609" s="146"/>
      <c r="J609" s="42"/>
      <c r="N609" s="146"/>
    </row>
    <row r="610" spans="1:14">
      <c r="A610" s="197"/>
      <c r="C610" s="331"/>
      <c r="E610" s="227"/>
      <c r="F610" s="210"/>
      <c r="G610" s="227"/>
      <c r="H610" s="259"/>
      <c r="I610" s="146"/>
      <c r="J610" s="42"/>
      <c r="N610" s="146"/>
    </row>
    <row r="611" spans="1:14">
      <c r="A611" s="197"/>
      <c r="C611" s="331"/>
      <c r="E611" s="227"/>
      <c r="F611" s="210"/>
      <c r="G611" s="227"/>
      <c r="H611" s="259"/>
      <c r="I611" s="146"/>
      <c r="J611" s="42"/>
      <c r="N611" s="146"/>
    </row>
    <row r="612" spans="1:14">
      <c r="A612" s="197"/>
      <c r="C612" s="331"/>
      <c r="E612" s="227"/>
      <c r="F612" s="210"/>
      <c r="G612" s="227"/>
      <c r="H612" s="259"/>
      <c r="I612" s="146"/>
      <c r="J612" s="42"/>
      <c r="N612" s="146"/>
    </row>
    <row r="613" spans="1:14">
      <c r="A613" s="197"/>
      <c r="C613" s="331"/>
      <c r="E613" s="227"/>
      <c r="F613" s="210"/>
      <c r="G613" s="227"/>
      <c r="H613" s="259"/>
      <c r="I613" s="146"/>
      <c r="J613" s="42"/>
      <c r="N613" s="146"/>
    </row>
    <row r="614" spans="1:14">
      <c r="A614" s="197"/>
      <c r="C614" s="331"/>
      <c r="E614" s="227"/>
      <c r="F614" s="210"/>
      <c r="G614" s="227"/>
      <c r="H614" s="259"/>
      <c r="I614" s="146"/>
      <c r="J614" s="42"/>
      <c r="N614" s="146"/>
    </row>
    <row r="615" spans="1:14">
      <c r="A615" s="197"/>
      <c r="C615" s="331"/>
      <c r="E615" s="227"/>
      <c r="F615" s="210"/>
      <c r="G615" s="227"/>
      <c r="H615" s="259"/>
      <c r="I615" s="146"/>
      <c r="J615" s="42"/>
      <c r="N615" s="146"/>
    </row>
    <row r="616" spans="1:14">
      <c r="A616" s="197"/>
      <c r="C616" s="331"/>
      <c r="E616" s="227"/>
      <c r="F616" s="210"/>
      <c r="G616" s="227"/>
      <c r="H616" s="259"/>
      <c r="I616" s="146"/>
      <c r="J616" s="42"/>
      <c r="N616" s="146"/>
    </row>
    <row r="617" spans="1:14">
      <c r="A617" s="197"/>
      <c r="C617" s="331"/>
      <c r="E617" s="227"/>
      <c r="F617" s="210"/>
      <c r="G617" s="227"/>
      <c r="H617" s="259"/>
      <c r="I617" s="146"/>
      <c r="J617" s="42"/>
      <c r="N617" s="146"/>
    </row>
    <row r="618" spans="1:14">
      <c r="A618" s="197"/>
      <c r="C618" s="331"/>
      <c r="E618" s="227"/>
      <c r="F618" s="210"/>
      <c r="G618" s="227"/>
      <c r="H618" s="259"/>
      <c r="I618" s="146"/>
      <c r="J618" s="42"/>
      <c r="N618" s="146"/>
    </row>
    <row r="619" spans="1:14">
      <c r="A619" s="197"/>
      <c r="C619" s="331"/>
      <c r="E619" s="227"/>
      <c r="F619" s="210"/>
      <c r="G619" s="227"/>
      <c r="H619" s="259"/>
      <c r="I619" s="146"/>
      <c r="J619" s="42"/>
      <c r="N619" s="146"/>
    </row>
    <row r="620" spans="1:14">
      <c r="A620" s="197"/>
      <c r="C620" s="331"/>
      <c r="E620" s="227"/>
      <c r="F620" s="210"/>
      <c r="G620" s="227"/>
      <c r="H620" s="259"/>
      <c r="I620" s="146"/>
      <c r="J620" s="42"/>
      <c r="N620" s="146"/>
    </row>
    <row r="621" spans="1:14">
      <c r="A621" s="197"/>
      <c r="C621" s="331"/>
      <c r="E621" s="227"/>
      <c r="F621" s="210"/>
      <c r="G621" s="227"/>
      <c r="H621" s="259"/>
      <c r="I621" s="146"/>
      <c r="J621" s="42"/>
      <c r="N621" s="146"/>
    </row>
    <row r="622" spans="1:14">
      <c r="A622" s="197"/>
      <c r="C622" s="331"/>
      <c r="E622" s="227"/>
      <c r="F622" s="210"/>
      <c r="G622" s="227"/>
      <c r="H622" s="259"/>
      <c r="I622" s="146"/>
      <c r="J622" s="42"/>
      <c r="N622" s="146"/>
    </row>
    <row r="623" spans="1:14">
      <c r="A623" s="197"/>
      <c r="C623" s="331"/>
      <c r="E623" s="227"/>
      <c r="F623" s="210"/>
      <c r="G623" s="227"/>
      <c r="H623" s="259"/>
      <c r="I623" s="146"/>
      <c r="J623" s="42"/>
      <c r="N623" s="146"/>
    </row>
    <row r="624" spans="1:14">
      <c r="A624" s="197"/>
      <c r="C624" s="331"/>
      <c r="E624" s="227"/>
      <c r="F624" s="210"/>
      <c r="G624" s="227"/>
      <c r="H624" s="259"/>
      <c r="I624" s="146"/>
      <c r="J624" s="42"/>
      <c r="N624" s="146"/>
    </row>
    <row r="625" spans="1:14">
      <c r="A625" s="197"/>
      <c r="C625" s="331"/>
      <c r="E625" s="227"/>
      <c r="F625" s="210"/>
      <c r="G625" s="227"/>
      <c r="H625" s="259"/>
      <c r="I625" s="146"/>
      <c r="J625" s="42"/>
      <c r="N625" s="146"/>
    </row>
    <row r="626" spans="1:14">
      <c r="A626" s="197"/>
      <c r="C626" s="331"/>
      <c r="E626" s="227"/>
      <c r="F626" s="210"/>
      <c r="G626" s="227"/>
      <c r="H626" s="259"/>
      <c r="I626" s="146"/>
      <c r="J626" s="42"/>
      <c r="N626" s="146"/>
    </row>
    <row r="627" spans="1:14">
      <c r="A627" s="197"/>
      <c r="C627" s="331"/>
      <c r="E627" s="227"/>
      <c r="F627" s="210"/>
      <c r="G627" s="227"/>
      <c r="H627" s="259"/>
      <c r="I627" s="146"/>
      <c r="J627" s="42"/>
      <c r="N627" s="146"/>
    </row>
    <row r="628" spans="1:14">
      <c r="A628" s="197"/>
      <c r="C628" s="331"/>
      <c r="E628" s="227"/>
      <c r="F628" s="210"/>
      <c r="G628" s="227"/>
      <c r="H628" s="259"/>
      <c r="I628" s="146"/>
      <c r="J628" s="42"/>
      <c r="N628" s="146"/>
    </row>
    <row r="629" spans="1:14">
      <c r="A629" s="197"/>
      <c r="C629" s="331"/>
      <c r="E629" s="227"/>
      <c r="F629" s="210"/>
      <c r="G629" s="227"/>
      <c r="H629" s="259"/>
      <c r="I629" s="146"/>
      <c r="J629" s="42"/>
      <c r="N629" s="146"/>
    </row>
    <row r="630" spans="1:14">
      <c r="A630" s="197"/>
      <c r="C630" s="331"/>
      <c r="E630" s="227"/>
      <c r="F630" s="210"/>
      <c r="G630" s="227"/>
      <c r="H630" s="259"/>
      <c r="I630" s="146"/>
      <c r="J630" s="42"/>
      <c r="N630" s="146"/>
    </row>
    <row r="631" spans="1:14">
      <c r="A631" s="197"/>
      <c r="C631" s="331"/>
      <c r="E631" s="227"/>
      <c r="F631" s="210"/>
      <c r="G631" s="227"/>
      <c r="H631" s="259"/>
      <c r="I631" s="146"/>
      <c r="J631" s="42"/>
      <c r="N631" s="146"/>
    </row>
    <row r="632" spans="1:14">
      <c r="A632" s="197"/>
      <c r="C632" s="331"/>
      <c r="E632" s="227"/>
      <c r="F632" s="210"/>
      <c r="G632" s="227"/>
      <c r="H632" s="259"/>
      <c r="I632" s="146"/>
      <c r="J632" s="42"/>
      <c r="N632" s="146"/>
    </row>
    <row r="633" spans="1:14">
      <c r="A633" s="197"/>
      <c r="C633" s="331"/>
      <c r="E633" s="227"/>
      <c r="F633" s="210"/>
      <c r="G633" s="227"/>
      <c r="H633" s="259"/>
      <c r="I633" s="146"/>
      <c r="J633" s="42"/>
      <c r="N633" s="146"/>
    </row>
    <row r="634" spans="1:14">
      <c r="A634" s="197"/>
      <c r="C634" s="331"/>
      <c r="E634" s="227"/>
      <c r="F634" s="210"/>
      <c r="G634" s="227"/>
      <c r="H634" s="259"/>
      <c r="I634" s="146"/>
      <c r="J634" s="42"/>
      <c r="N634" s="146"/>
    </row>
    <row r="635" spans="1:14">
      <c r="A635" s="197"/>
      <c r="C635" s="331"/>
      <c r="E635" s="227"/>
      <c r="F635" s="210"/>
      <c r="G635" s="227"/>
      <c r="H635" s="259"/>
      <c r="I635" s="146"/>
      <c r="J635" s="42"/>
      <c r="N635" s="146"/>
    </row>
    <row r="636" spans="1:14">
      <c r="A636" s="197"/>
      <c r="C636" s="331"/>
      <c r="E636" s="227"/>
      <c r="F636" s="210"/>
      <c r="G636" s="227"/>
      <c r="H636" s="259"/>
      <c r="I636" s="146"/>
      <c r="J636" s="42"/>
      <c r="N636" s="146"/>
    </row>
    <row r="637" spans="1:14">
      <c r="A637" s="197"/>
      <c r="C637" s="331"/>
      <c r="E637" s="227"/>
      <c r="F637" s="210"/>
      <c r="G637" s="227"/>
      <c r="H637" s="259"/>
      <c r="I637" s="146"/>
      <c r="J637" s="42"/>
      <c r="N637" s="146"/>
    </row>
    <row r="638" spans="1:14">
      <c r="A638" s="197"/>
      <c r="C638" s="331"/>
      <c r="E638" s="227"/>
      <c r="F638" s="210"/>
      <c r="G638" s="227"/>
      <c r="H638" s="259"/>
      <c r="I638" s="146"/>
      <c r="J638" s="42"/>
      <c r="N638" s="146"/>
    </row>
    <row r="639" spans="1:14">
      <c r="A639" s="197"/>
      <c r="C639" s="331"/>
      <c r="E639" s="227"/>
      <c r="F639" s="210"/>
      <c r="G639" s="227"/>
      <c r="H639" s="259"/>
      <c r="I639" s="146"/>
      <c r="J639" s="42"/>
      <c r="N639" s="146"/>
    </row>
    <row r="640" spans="1:14">
      <c r="A640" s="197"/>
      <c r="C640" s="331"/>
      <c r="E640" s="227"/>
      <c r="F640" s="210"/>
      <c r="G640" s="227"/>
      <c r="H640" s="259"/>
      <c r="I640" s="146"/>
      <c r="J640" s="42"/>
      <c r="N640" s="146"/>
    </row>
    <row r="641" spans="1:14">
      <c r="A641" s="197"/>
      <c r="C641" s="331"/>
      <c r="E641" s="227"/>
      <c r="F641" s="210"/>
      <c r="G641" s="227"/>
      <c r="H641" s="259"/>
      <c r="I641" s="146"/>
      <c r="J641" s="42"/>
      <c r="N641" s="146"/>
    </row>
    <row r="642" spans="1:14">
      <c r="A642" s="197"/>
      <c r="C642" s="331"/>
      <c r="E642" s="227"/>
      <c r="F642" s="210"/>
      <c r="G642" s="227"/>
      <c r="H642" s="259"/>
      <c r="I642" s="146"/>
      <c r="J642" s="42"/>
      <c r="N642" s="146"/>
    </row>
    <row r="643" spans="1:14">
      <c r="A643" s="197"/>
      <c r="C643" s="331"/>
      <c r="E643" s="227"/>
      <c r="F643" s="210"/>
      <c r="G643" s="227"/>
      <c r="H643" s="259"/>
      <c r="I643" s="146"/>
      <c r="J643" s="42"/>
      <c r="N643" s="146"/>
    </row>
    <row r="644" spans="1:14">
      <c r="A644" s="197"/>
      <c r="C644" s="331"/>
      <c r="E644" s="227"/>
      <c r="F644" s="210"/>
      <c r="G644" s="227"/>
      <c r="H644" s="259"/>
      <c r="I644" s="146"/>
      <c r="J644" s="42"/>
      <c r="N644" s="146"/>
    </row>
    <row r="645" spans="1:14">
      <c r="A645" s="197"/>
      <c r="C645" s="331"/>
      <c r="E645" s="227"/>
      <c r="F645" s="210"/>
      <c r="G645" s="227"/>
      <c r="H645" s="259"/>
      <c r="I645" s="146"/>
      <c r="J645" s="42"/>
      <c r="N645" s="146"/>
    </row>
    <row r="646" spans="1:14">
      <c r="A646" s="197"/>
      <c r="C646" s="331"/>
      <c r="E646" s="227"/>
      <c r="F646" s="210"/>
      <c r="G646" s="227"/>
      <c r="H646" s="259"/>
      <c r="I646" s="146"/>
      <c r="J646" s="42"/>
      <c r="N646" s="146"/>
    </row>
    <row r="647" spans="1:14">
      <c r="A647" s="197"/>
      <c r="C647" s="331"/>
      <c r="E647" s="227"/>
      <c r="F647" s="210"/>
      <c r="G647" s="227"/>
      <c r="H647" s="259"/>
      <c r="I647" s="146"/>
      <c r="J647" s="42"/>
      <c r="N647" s="146"/>
    </row>
    <row r="648" spans="1:14">
      <c r="A648" s="197"/>
      <c r="C648" s="331"/>
      <c r="E648" s="227"/>
      <c r="F648" s="210"/>
      <c r="G648" s="227"/>
      <c r="H648" s="259"/>
      <c r="I648" s="146"/>
      <c r="J648" s="42"/>
      <c r="N648" s="146"/>
    </row>
    <row r="649" spans="1:14">
      <c r="A649" s="197"/>
      <c r="C649" s="331"/>
      <c r="E649" s="227"/>
      <c r="F649" s="210"/>
      <c r="G649" s="227"/>
      <c r="H649" s="259"/>
      <c r="I649" s="146"/>
      <c r="J649" s="42"/>
      <c r="N649" s="146"/>
    </row>
    <row r="650" spans="1:14">
      <c r="A650" s="197"/>
      <c r="C650" s="331"/>
      <c r="E650" s="227"/>
      <c r="F650" s="210"/>
      <c r="G650" s="227"/>
      <c r="H650" s="259"/>
      <c r="I650" s="146"/>
      <c r="J650" s="42"/>
      <c r="N650" s="146"/>
    </row>
    <row r="651" spans="1:14">
      <c r="A651" s="197"/>
      <c r="C651" s="331"/>
      <c r="E651" s="227"/>
      <c r="F651" s="210"/>
      <c r="G651" s="227"/>
      <c r="H651" s="259"/>
      <c r="I651" s="146"/>
      <c r="J651" s="42"/>
      <c r="N651" s="146"/>
    </row>
    <row r="652" spans="1:14">
      <c r="A652" s="197"/>
      <c r="C652" s="331"/>
      <c r="E652" s="227"/>
      <c r="F652" s="210"/>
      <c r="G652" s="227"/>
      <c r="H652" s="259"/>
      <c r="I652" s="146"/>
      <c r="J652" s="42"/>
      <c r="N652" s="146"/>
    </row>
    <row r="653" spans="1:14">
      <c r="A653" s="197"/>
      <c r="C653" s="331"/>
      <c r="E653" s="227"/>
      <c r="F653" s="210"/>
      <c r="G653" s="227"/>
      <c r="H653" s="259"/>
      <c r="I653" s="146"/>
      <c r="J653" s="42"/>
      <c r="N653" s="146"/>
    </row>
    <row r="654" spans="1:14">
      <c r="A654" s="197"/>
      <c r="C654" s="331"/>
      <c r="E654" s="227"/>
      <c r="F654" s="210"/>
      <c r="G654" s="227"/>
      <c r="H654" s="259"/>
      <c r="I654" s="146"/>
      <c r="J654" s="42"/>
      <c r="N654" s="146"/>
    </row>
    <row r="655" spans="1:14">
      <c r="A655" s="197"/>
      <c r="C655" s="331"/>
      <c r="E655" s="227"/>
      <c r="F655" s="210"/>
      <c r="G655" s="227"/>
      <c r="H655" s="259"/>
      <c r="I655" s="146"/>
      <c r="J655" s="42"/>
      <c r="N655" s="146"/>
    </row>
    <row r="656" spans="1:14">
      <c r="A656" s="197"/>
      <c r="C656" s="331"/>
      <c r="E656" s="227"/>
      <c r="F656" s="210"/>
      <c r="G656" s="227"/>
      <c r="H656" s="259"/>
      <c r="I656" s="146"/>
      <c r="J656" s="42"/>
      <c r="N656" s="146"/>
    </row>
    <row r="657" spans="1:14">
      <c r="A657" s="197"/>
      <c r="C657" s="331"/>
      <c r="E657" s="227"/>
      <c r="F657" s="210"/>
      <c r="G657" s="227"/>
      <c r="H657" s="259"/>
      <c r="I657" s="146"/>
      <c r="J657" s="42"/>
      <c r="N657" s="146"/>
    </row>
    <row r="658" spans="1:14">
      <c r="A658" s="197"/>
      <c r="C658" s="331"/>
      <c r="E658" s="227"/>
      <c r="F658" s="210"/>
      <c r="G658" s="227"/>
      <c r="H658" s="259"/>
      <c r="I658" s="146"/>
      <c r="J658" s="42"/>
      <c r="N658" s="146"/>
    </row>
    <row r="659" spans="1:14">
      <c r="A659" s="197"/>
      <c r="C659" s="331"/>
      <c r="E659" s="227"/>
      <c r="F659" s="210"/>
      <c r="G659" s="227"/>
      <c r="H659" s="259"/>
      <c r="I659" s="146"/>
      <c r="J659" s="42"/>
      <c r="N659" s="146"/>
    </row>
    <row r="660" spans="1:14">
      <c r="A660" s="197"/>
      <c r="C660" s="331"/>
      <c r="E660" s="227"/>
      <c r="F660" s="210"/>
      <c r="G660" s="227"/>
      <c r="H660" s="259"/>
      <c r="I660" s="146"/>
      <c r="J660" s="42"/>
      <c r="N660" s="146"/>
    </row>
    <row r="661" spans="1:14">
      <c r="A661" s="197"/>
      <c r="C661" s="331"/>
      <c r="E661" s="227"/>
      <c r="F661" s="210"/>
      <c r="G661" s="227"/>
      <c r="H661" s="259"/>
      <c r="I661" s="146"/>
      <c r="J661" s="42"/>
      <c r="N661" s="146"/>
    </row>
    <row r="662" spans="1:14">
      <c r="A662" s="197"/>
      <c r="C662" s="331"/>
      <c r="E662" s="227"/>
      <c r="F662" s="210"/>
      <c r="G662" s="227"/>
      <c r="H662" s="259"/>
      <c r="I662" s="146"/>
      <c r="J662" s="42"/>
      <c r="N662" s="146"/>
    </row>
    <row r="663" spans="1:14">
      <c r="A663" s="197"/>
      <c r="C663" s="331"/>
      <c r="E663" s="227"/>
      <c r="F663" s="210"/>
      <c r="G663" s="227"/>
      <c r="H663" s="259"/>
      <c r="I663" s="146"/>
      <c r="J663" s="42"/>
      <c r="N663" s="146"/>
    </row>
    <row r="664" spans="1:14">
      <c r="A664" s="197"/>
      <c r="C664" s="331"/>
      <c r="E664" s="227"/>
      <c r="F664" s="210"/>
      <c r="G664" s="227"/>
      <c r="H664" s="259"/>
      <c r="I664" s="146"/>
      <c r="J664" s="42"/>
      <c r="N664" s="146"/>
    </row>
    <row r="665" spans="1:14">
      <c r="A665" s="197"/>
      <c r="C665" s="331"/>
      <c r="E665" s="227"/>
      <c r="F665" s="210"/>
      <c r="G665" s="227"/>
      <c r="H665" s="259"/>
      <c r="I665" s="146"/>
      <c r="J665" s="42"/>
      <c r="N665" s="146"/>
    </row>
    <row r="666" spans="1:14">
      <c r="A666" s="197"/>
      <c r="C666" s="331"/>
      <c r="E666" s="227"/>
      <c r="F666" s="210"/>
      <c r="G666" s="227"/>
      <c r="H666" s="259"/>
      <c r="I666" s="146"/>
      <c r="J666" s="42"/>
      <c r="N666" s="146"/>
    </row>
    <row r="667" spans="1:14">
      <c r="A667" s="197"/>
      <c r="C667" s="331"/>
      <c r="E667" s="227"/>
      <c r="F667" s="210"/>
      <c r="G667" s="227"/>
      <c r="H667" s="259"/>
      <c r="I667" s="146"/>
      <c r="J667" s="42"/>
      <c r="N667" s="146"/>
    </row>
    <row r="668" spans="1:14">
      <c r="A668" s="197"/>
      <c r="C668" s="331"/>
      <c r="E668" s="227"/>
      <c r="F668" s="210"/>
      <c r="G668" s="227"/>
      <c r="H668" s="259"/>
      <c r="I668" s="146"/>
      <c r="J668" s="42"/>
      <c r="N668" s="146"/>
    </row>
    <row r="669" spans="1:14">
      <c r="A669" s="197"/>
      <c r="C669" s="331"/>
      <c r="E669" s="227"/>
      <c r="F669" s="210"/>
      <c r="G669" s="227"/>
      <c r="H669" s="259"/>
      <c r="I669" s="146"/>
      <c r="J669" s="42"/>
      <c r="N669" s="146"/>
    </row>
    <row r="670" spans="1:14">
      <c r="A670" s="197"/>
      <c r="C670" s="331"/>
      <c r="E670" s="227"/>
      <c r="F670" s="210"/>
      <c r="G670" s="227"/>
      <c r="H670" s="259"/>
      <c r="I670" s="146"/>
      <c r="J670" s="42"/>
      <c r="N670" s="146"/>
    </row>
    <row r="671" spans="1:14">
      <c r="A671" s="197"/>
      <c r="C671" s="331"/>
      <c r="E671" s="227"/>
      <c r="F671" s="210"/>
      <c r="G671" s="227"/>
      <c r="H671" s="259"/>
      <c r="I671" s="146"/>
      <c r="J671" s="42"/>
      <c r="N671" s="146"/>
    </row>
    <row r="672" spans="1:14">
      <c r="A672" s="197"/>
      <c r="C672" s="331"/>
      <c r="E672" s="227"/>
      <c r="F672" s="210"/>
      <c r="G672" s="227"/>
      <c r="H672" s="259"/>
      <c r="I672" s="146"/>
      <c r="J672" s="42"/>
      <c r="N672" s="146"/>
    </row>
    <row r="673" spans="1:14">
      <c r="A673" s="197"/>
      <c r="C673" s="331"/>
      <c r="E673" s="227"/>
      <c r="F673" s="210"/>
      <c r="G673" s="227"/>
      <c r="H673" s="259"/>
      <c r="I673" s="146"/>
      <c r="J673" s="42"/>
      <c r="N673" s="146"/>
    </row>
    <row r="674" spans="1:14">
      <c r="A674" s="197"/>
      <c r="C674" s="331"/>
      <c r="E674" s="227"/>
      <c r="F674" s="210"/>
      <c r="G674" s="227"/>
      <c r="H674" s="259"/>
      <c r="I674" s="146"/>
      <c r="J674" s="42"/>
      <c r="N674" s="146"/>
    </row>
    <row r="675" spans="1:14">
      <c r="A675" s="197"/>
      <c r="C675" s="331"/>
      <c r="E675" s="227"/>
      <c r="F675" s="210"/>
      <c r="G675" s="227"/>
      <c r="H675" s="259"/>
      <c r="I675" s="146"/>
      <c r="J675" s="42"/>
      <c r="N675" s="146"/>
    </row>
    <row r="676" spans="1:14">
      <c r="A676" s="197"/>
      <c r="C676" s="331"/>
      <c r="E676" s="227"/>
      <c r="F676" s="210"/>
      <c r="G676" s="227"/>
      <c r="H676" s="259"/>
      <c r="I676" s="146"/>
      <c r="J676" s="42"/>
      <c r="N676" s="146"/>
    </row>
    <row r="677" spans="1:14">
      <c r="A677" s="197"/>
      <c r="C677" s="331"/>
      <c r="E677" s="227"/>
      <c r="F677" s="210"/>
      <c r="G677" s="227"/>
      <c r="H677" s="259"/>
      <c r="I677" s="146"/>
      <c r="J677" s="42"/>
      <c r="N677" s="146"/>
    </row>
    <row r="678" spans="1:14">
      <c r="A678" s="197"/>
      <c r="C678" s="331"/>
      <c r="E678" s="227"/>
      <c r="F678" s="210"/>
      <c r="G678" s="227"/>
      <c r="H678" s="259"/>
      <c r="I678" s="146"/>
      <c r="J678" s="42"/>
      <c r="N678" s="146"/>
    </row>
    <row r="679" spans="1:14">
      <c r="A679" s="197"/>
      <c r="C679" s="331"/>
      <c r="E679" s="227"/>
      <c r="F679" s="210"/>
      <c r="G679" s="227"/>
      <c r="H679" s="259"/>
      <c r="I679" s="146"/>
      <c r="J679" s="42"/>
      <c r="N679" s="146"/>
    </row>
    <row r="680" spans="1:14">
      <c r="A680" s="197"/>
      <c r="C680" s="331"/>
      <c r="E680" s="227"/>
      <c r="F680" s="210"/>
      <c r="G680" s="227"/>
      <c r="H680" s="259"/>
      <c r="I680" s="146"/>
      <c r="J680" s="42"/>
      <c r="N680" s="146"/>
    </row>
    <row r="681" spans="1:14">
      <c r="A681" s="197"/>
      <c r="C681" s="331"/>
      <c r="E681" s="227"/>
      <c r="F681" s="210"/>
      <c r="G681" s="227"/>
      <c r="H681" s="259"/>
      <c r="I681" s="146"/>
      <c r="J681" s="42"/>
      <c r="N681" s="146"/>
    </row>
    <row r="682" spans="1:14">
      <c r="A682" s="197"/>
      <c r="C682" s="331"/>
      <c r="E682" s="227"/>
      <c r="F682" s="210"/>
      <c r="G682" s="227"/>
      <c r="H682" s="259"/>
      <c r="I682" s="146"/>
      <c r="J682" s="42"/>
      <c r="N682" s="146"/>
    </row>
    <row r="683" spans="1:14">
      <c r="A683" s="197"/>
      <c r="C683" s="331"/>
      <c r="E683" s="227"/>
      <c r="F683" s="210"/>
      <c r="G683" s="227"/>
      <c r="H683" s="259"/>
      <c r="I683" s="146"/>
      <c r="J683" s="42"/>
      <c r="N683" s="146"/>
    </row>
    <row r="684" spans="1:14">
      <c r="A684" s="197"/>
      <c r="C684" s="331"/>
      <c r="E684" s="227"/>
      <c r="F684" s="210"/>
      <c r="G684" s="227"/>
      <c r="H684" s="259"/>
      <c r="I684" s="146"/>
      <c r="J684" s="42"/>
      <c r="N684" s="146"/>
    </row>
    <row r="685" spans="1:14">
      <c r="A685" s="197"/>
      <c r="C685" s="331"/>
      <c r="E685" s="227"/>
      <c r="F685" s="210"/>
      <c r="G685" s="227"/>
      <c r="H685" s="259"/>
      <c r="I685" s="146"/>
      <c r="J685" s="42"/>
      <c r="N685" s="146"/>
    </row>
    <row r="686" spans="1:14">
      <c r="A686" s="197"/>
      <c r="C686" s="331"/>
      <c r="E686" s="227"/>
      <c r="F686" s="210"/>
      <c r="G686" s="227"/>
      <c r="H686" s="259"/>
      <c r="I686" s="146"/>
      <c r="J686" s="42"/>
      <c r="N686" s="146"/>
    </row>
    <row r="687" spans="1:14">
      <c r="A687" s="197"/>
      <c r="C687" s="331"/>
      <c r="E687" s="227"/>
      <c r="F687" s="210"/>
      <c r="G687" s="227"/>
      <c r="H687" s="259"/>
      <c r="I687" s="146"/>
      <c r="J687" s="42"/>
      <c r="N687" s="146"/>
    </row>
    <row r="688" spans="1:14">
      <c r="A688" s="197"/>
      <c r="C688" s="331"/>
      <c r="E688" s="227"/>
      <c r="F688" s="210"/>
      <c r="G688" s="227"/>
      <c r="H688" s="259"/>
      <c r="I688" s="146"/>
      <c r="J688" s="42"/>
      <c r="N688" s="146"/>
    </row>
    <row r="689" spans="1:14">
      <c r="A689" s="197"/>
      <c r="C689" s="331"/>
      <c r="E689" s="227"/>
      <c r="F689" s="210"/>
      <c r="G689" s="227"/>
      <c r="H689" s="259"/>
      <c r="I689" s="146"/>
      <c r="J689" s="42"/>
      <c r="N689" s="146"/>
    </row>
    <row r="690" spans="1:14">
      <c r="A690" s="197"/>
      <c r="C690" s="331"/>
      <c r="E690" s="227"/>
      <c r="F690" s="210"/>
      <c r="G690" s="227"/>
      <c r="H690" s="259"/>
      <c r="I690" s="146"/>
      <c r="J690" s="42"/>
      <c r="N690" s="146"/>
    </row>
    <row r="691" spans="1:14">
      <c r="A691" s="197"/>
      <c r="C691" s="331"/>
      <c r="E691" s="227"/>
      <c r="F691" s="210"/>
      <c r="G691" s="227"/>
      <c r="H691" s="259"/>
      <c r="I691" s="146"/>
      <c r="J691" s="42"/>
      <c r="N691" s="146"/>
    </row>
    <row r="692" spans="1:14">
      <c r="A692" s="197"/>
      <c r="C692" s="331"/>
      <c r="E692" s="227"/>
      <c r="F692" s="210"/>
      <c r="G692" s="227"/>
      <c r="H692" s="259"/>
      <c r="I692" s="146"/>
      <c r="J692" s="42"/>
      <c r="N692" s="146"/>
    </row>
    <row r="693" spans="1:14">
      <c r="A693" s="197"/>
      <c r="C693" s="331"/>
      <c r="E693" s="227"/>
      <c r="F693" s="210"/>
      <c r="G693" s="227"/>
      <c r="H693" s="259"/>
      <c r="I693" s="146"/>
      <c r="J693" s="42"/>
      <c r="N693" s="146"/>
    </row>
    <row r="694" spans="1:14">
      <c r="A694" s="197"/>
      <c r="C694" s="331"/>
      <c r="E694" s="227"/>
      <c r="F694" s="210"/>
      <c r="G694" s="227"/>
      <c r="H694" s="259"/>
      <c r="I694" s="146"/>
      <c r="J694" s="42"/>
      <c r="N694" s="146"/>
    </row>
    <row r="695" spans="1:14">
      <c r="A695" s="197"/>
      <c r="C695" s="331"/>
      <c r="E695" s="227"/>
      <c r="F695" s="210"/>
      <c r="G695" s="227"/>
      <c r="H695" s="259"/>
      <c r="I695" s="146"/>
      <c r="J695" s="42"/>
      <c r="N695" s="146"/>
    </row>
    <row r="696" spans="1:14">
      <c r="A696" s="197"/>
      <c r="C696" s="331"/>
      <c r="E696" s="227"/>
      <c r="F696" s="210"/>
      <c r="G696" s="227"/>
      <c r="H696" s="259"/>
      <c r="I696" s="146"/>
      <c r="J696" s="42"/>
      <c r="N696" s="146"/>
    </row>
    <row r="697" spans="1:14">
      <c r="A697" s="197"/>
      <c r="C697" s="331"/>
      <c r="E697" s="227"/>
      <c r="F697" s="210"/>
      <c r="G697" s="227"/>
      <c r="H697" s="259"/>
      <c r="I697" s="146"/>
      <c r="J697" s="42"/>
      <c r="N697" s="146"/>
    </row>
    <row r="698" spans="1:14">
      <c r="A698" s="197"/>
      <c r="C698" s="331"/>
      <c r="E698" s="227"/>
      <c r="F698" s="210"/>
      <c r="G698" s="227"/>
      <c r="H698" s="259"/>
      <c r="I698" s="146"/>
      <c r="J698" s="42"/>
      <c r="N698" s="146"/>
    </row>
    <row r="699" spans="1:14">
      <c r="A699" s="197"/>
      <c r="C699" s="331"/>
      <c r="E699" s="227"/>
      <c r="F699" s="210"/>
      <c r="G699" s="227"/>
      <c r="H699" s="259"/>
      <c r="I699" s="146"/>
      <c r="J699" s="42"/>
      <c r="N699" s="146"/>
    </row>
    <row r="700" spans="1:14">
      <c r="A700" s="197"/>
      <c r="C700" s="331"/>
      <c r="E700" s="227"/>
      <c r="F700" s="210"/>
      <c r="G700" s="227"/>
      <c r="H700" s="259"/>
      <c r="I700" s="146"/>
      <c r="J700" s="42"/>
      <c r="N700" s="146"/>
    </row>
    <row r="701" spans="1:14">
      <c r="A701" s="197"/>
      <c r="C701" s="331"/>
      <c r="E701" s="227"/>
      <c r="F701" s="210"/>
      <c r="G701" s="227"/>
      <c r="H701" s="259"/>
      <c r="I701" s="146"/>
      <c r="J701" s="42"/>
      <c r="N701" s="146"/>
    </row>
    <row r="702" spans="1:14">
      <c r="A702" s="197"/>
      <c r="C702" s="331"/>
      <c r="E702" s="227"/>
      <c r="F702" s="210"/>
      <c r="G702" s="227"/>
      <c r="H702" s="259"/>
      <c r="I702" s="146"/>
      <c r="J702" s="42"/>
      <c r="N702" s="146"/>
    </row>
    <row r="703" spans="1:14">
      <c r="A703" s="197"/>
      <c r="C703" s="331"/>
      <c r="E703" s="227"/>
      <c r="F703" s="210"/>
      <c r="G703" s="227"/>
      <c r="H703" s="259"/>
      <c r="I703" s="146"/>
      <c r="J703" s="42"/>
      <c r="N703" s="146"/>
    </row>
    <row r="704" spans="1:14">
      <c r="A704" s="197"/>
      <c r="C704" s="331"/>
      <c r="E704" s="227"/>
      <c r="F704" s="210"/>
      <c r="G704" s="227"/>
      <c r="H704" s="259"/>
      <c r="I704" s="146"/>
      <c r="J704" s="42"/>
      <c r="N704" s="146"/>
    </row>
    <row r="705" spans="1:14">
      <c r="A705" s="197"/>
      <c r="C705" s="331"/>
      <c r="E705" s="227"/>
      <c r="F705" s="210"/>
      <c r="G705" s="227"/>
      <c r="H705" s="259"/>
      <c r="I705" s="146"/>
      <c r="J705" s="42"/>
      <c r="N705" s="146"/>
    </row>
    <row r="706" spans="1:14">
      <c r="A706" s="197"/>
      <c r="C706" s="331"/>
      <c r="E706" s="227"/>
      <c r="F706" s="210"/>
      <c r="G706" s="227"/>
      <c r="H706" s="259"/>
      <c r="I706" s="146"/>
      <c r="J706" s="42"/>
      <c r="N706" s="146"/>
    </row>
    <row r="707" spans="1:14">
      <c r="A707" s="197"/>
      <c r="C707" s="331"/>
      <c r="E707" s="227"/>
      <c r="F707" s="210"/>
      <c r="G707" s="227"/>
      <c r="H707" s="259"/>
      <c r="I707" s="146"/>
      <c r="J707" s="42"/>
      <c r="N707" s="146"/>
    </row>
    <row r="708" spans="1:14">
      <c r="A708" s="197"/>
      <c r="C708" s="331"/>
      <c r="E708" s="227"/>
      <c r="F708" s="210"/>
      <c r="G708" s="227"/>
      <c r="H708" s="259"/>
      <c r="I708" s="146"/>
      <c r="J708" s="42"/>
      <c r="N708" s="146"/>
    </row>
    <row r="709" spans="1:14">
      <c r="A709" s="197"/>
      <c r="C709" s="331"/>
      <c r="E709" s="227"/>
      <c r="F709" s="210"/>
      <c r="G709" s="227"/>
      <c r="H709" s="259"/>
      <c r="I709" s="146"/>
      <c r="J709" s="42"/>
      <c r="N709" s="146"/>
    </row>
    <row r="710" spans="1:14">
      <c r="A710" s="197"/>
      <c r="C710" s="331"/>
      <c r="E710" s="227"/>
      <c r="F710" s="210"/>
      <c r="G710" s="227"/>
      <c r="H710" s="259"/>
      <c r="I710" s="146"/>
      <c r="J710" s="42"/>
      <c r="N710" s="146"/>
    </row>
    <row r="711" spans="1:14">
      <c r="A711" s="197"/>
      <c r="C711" s="331"/>
      <c r="E711" s="227"/>
      <c r="F711" s="210"/>
      <c r="G711" s="227"/>
      <c r="H711" s="259"/>
      <c r="I711" s="146"/>
      <c r="J711" s="42"/>
      <c r="N711" s="146"/>
    </row>
    <row r="712" spans="1:14">
      <c r="A712" s="197"/>
      <c r="C712" s="331"/>
      <c r="E712" s="227"/>
      <c r="F712" s="210"/>
      <c r="G712" s="227"/>
      <c r="H712" s="259"/>
      <c r="I712" s="146"/>
      <c r="J712" s="42"/>
      <c r="N712" s="146"/>
    </row>
    <row r="713" spans="1:14">
      <c r="A713" s="197"/>
      <c r="C713" s="331"/>
      <c r="E713" s="227"/>
      <c r="F713" s="210"/>
      <c r="G713" s="227"/>
      <c r="H713" s="259"/>
      <c r="I713" s="146"/>
      <c r="J713" s="42"/>
      <c r="N713" s="146"/>
    </row>
    <row r="714" spans="1:14">
      <c r="A714" s="197"/>
      <c r="C714" s="331"/>
      <c r="E714" s="227"/>
      <c r="F714" s="210"/>
      <c r="G714" s="227"/>
      <c r="H714" s="259"/>
      <c r="I714" s="146"/>
      <c r="J714" s="42"/>
      <c r="N714" s="146"/>
    </row>
    <row r="715" spans="1:14">
      <c r="A715" s="197"/>
      <c r="C715" s="331"/>
      <c r="E715" s="227"/>
      <c r="F715" s="210"/>
      <c r="G715" s="227"/>
      <c r="H715" s="259"/>
      <c r="I715" s="146"/>
      <c r="J715" s="42"/>
      <c r="N715" s="146"/>
    </row>
    <row r="716" spans="1:14">
      <c r="A716" s="197"/>
      <c r="C716" s="331"/>
      <c r="E716" s="227"/>
      <c r="F716" s="210"/>
      <c r="G716" s="227"/>
      <c r="H716" s="259"/>
      <c r="I716" s="146"/>
      <c r="J716" s="42"/>
      <c r="N716" s="146"/>
    </row>
    <row r="717" spans="1:14">
      <c r="A717" s="197"/>
      <c r="C717" s="331"/>
      <c r="E717" s="227"/>
      <c r="F717" s="210"/>
      <c r="G717" s="227"/>
      <c r="H717" s="259"/>
      <c r="I717" s="146"/>
      <c r="J717" s="42"/>
      <c r="N717" s="146"/>
    </row>
    <row r="718" spans="1:14">
      <c r="A718" s="197"/>
      <c r="C718" s="331"/>
      <c r="E718" s="227"/>
      <c r="F718" s="210"/>
      <c r="G718" s="227"/>
      <c r="H718" s="259"/>
      <c r="I718" s="146"/>
      <c r="J718" s="42"/>
      <c r="N718" s="146"/>
    </row>
    <row r="719" spans="1:14">
      <c r="A719" s="197"/>
      <c r="C719" s="331"/>
      <c r="E719" s="227"/>
      <c r="F719" s="210"/>
      <c r="G719" s="227"/>
      <c r="H719" s="259"/>
      <c r="I719" s="146"/>
      <c r="J719" s="42"/>
      <c r="N719" s="146"/>
    </row>
    <row r="720" spans="1:14">
      <c r="A720" s="197"/>
      <c r="C720" s="331"/>
      <c r="E720" s="227"/>
      <c r="F720" s="210"/>
      <c r="G720" s="227"/>
      <c r="H720" s="259"/>
      <c r="I720" s="146"/>
      <c r="J720" s="42"/>
      <c r="N720" s="146"/>
    </row>
    <row r="721" spans="1:14">
      <c r="A721" s="197"/>
      <c r="C721" s="331"/>
      <c r="E721" s="227"/>
      <c r="F721" s="210"/>
      <c r="G721" s="227"/>
      <c r="H721" s="259"/>
      <c r="I721" s="146"/>
      <c r="J721" s="42"/>
      <c r="N721" s="146"/>
    </row>
    <row r="722" spans="1:14">
      <c r="A722" s="197"/>
      <c r="C722" s="331"/>
      <c r="E722" s="227"/>
      <c r="F722" s="210"/>
      <c r="G722" s="227"/>
      <c r="H722" s="259"/>
      <c r="I722" s="146"/>
      <c r="J722" s="42"/>
      <c r="N722" s="146"/>
    </row>
    <row r="723" spans="1:14">
      <c r="A723" s="197"/>
      <c r="C723" s="331"/>
      <c r="E723" s="227"/>
      <c r="F723" s="210"/>
      <c r="G723" s="227"/>
      <c r="H723" s="259"/>
      <c r="I723" s="146"/>
      <c r="J723" s="42"/>
      <c r="N723" s="146"/>
    </row>
    <row r="724" spans="1:14">
      <c r="A724" s="197"/>
      <c r="C724" s="331"/>
      <c r="E724" s="227"/>
      <c r="F724" s="210"/>
      <c r="G724" s="227"/>
      <c r="H724" s="259"/>
      <c r="I724" s="146"/>
      <c r="J724" s="42"/>
      <c r="N724" s="146"/>
    </row>
    <row r="725" spans="1:14">
      <c r="A725" s="197"/>
      <c r="C725" s="331"/>
      <c r="E725" s="227"/>
      <c r="F725" s="210"/>
      <c r="G725" s="227"/>
      <c r="H725" s="259"/>
      <c r="I725" s="146"/>
      <c r="J725" s="42"/>
      <c r="N725" s="146"/>
    </row>
    <row r="726" spans="1:14">
      <c r="A726" s="197"/>
      <c r="C726" s="331"/>
      <c r="E726" s="227"/>
      <c r="F726" s="210"/>
      <c r="G726" s="227"/>
      <c r="H726" s="259"/>
      <c r="I726" s="146"/>
      <c r="J726" s="42"/>
      <c r="N726" s="146"/>
    </row>
    <row r="727" spans="1:14">
      <c r="A727" s="197"/>
      <c r="C727" s="331"/>
      <c r="E727" s="227"/>
      <c r="F727" s="210"/>
      <c r="G727" s="227"/>
      <c r="H727" s="259"/>
      <c r="I727" s="146"/>
      <c r="J727" s="42"/>
      <c r="N727" s="146"/>
    </row>
    <row r="728" spans="1:14">
      <c r="A728" s="197"/>
      <c r="C728" s="331"/>
      <c r="E728" s="227"/>
      <c r="F728" s="210"/>
      <c r="G728" s="227"/>
      <c r="H728" s="259"/>
      <c r="I728" s="146"/>
      <c r="J728" s="42"/>
      <c r="N728" s="146"/>
    </row>
    <row r="729" spans="1:14">
      <c r="A729" s="197"/>
      <c r="C729" s="331"/>
      <c r="E729" s="227"/>
      <c r="F729" s="210"/>
      <c r="G729" s="227"/>
      <c r="H729" s="259"/>
      <c r="I729" s="146"/>
      <c r="J729" s="42"/>
      <c r="N729" s="146"/>
    </row>
    <row r="730" spans="1:14">
      <c r="A730" s="197"/>
      <c r="C730" s="331"/>
      <c r="E730" s="227"/>
      <c r="F730" s="210"/>
      <c r="G730" s="227"/>
      <c r="H730" s="259"/>
      <c r="I730" s="146"/>
      <c r="J730" s="42"/>
      <c r="N730" s="146"/>
    </row>
    <row r="731" spans="1:14">
      <c r="A731" s="197"/>
      <c r="C731" s="331"/>
      <c r="E731" s="227"/>
      <c r="F731" s="210"/>
      <c r="G731" s="227"/>
      <c r="H731" s="259"/>
      <c r="I731" s="146"/>
      <c r="J731" s="42"/>
      <c r="N731" s="146"/>
    </row>
    <row r="732" spans="1:14">
      <c r="A732" s="197"/>
      <c r="C732" s="331"/>
      <c r="E732" s="227"/>
      <c r="F732" s="210"/>
      <c r="G732" s="227"/>
      <c r="H732" s="259"/>
      <c r="I732" s="146"/>
      <c r="J732" s="42"/>
      <c r="N732" s="146"/>
    </row>
    <row r="733" spans="1:14">
      <c r="A733" s="197"/>
      <c r="C733" s="331"/>
      <c r="E733" s="227"/>
      <c r="F733" s="210"/>
      <c r="G733" s="227"/>
      <c r="H733" s="259"/>
      <c r="I733" s="146"/>
      <c r="J733" s="42"/>
      <c r="N733" s="146"/>
    </row>
    <row r="734" spans="1:14">
      <c r="A734" s="197"/>
      <c r="C734" s="331"/>
      <c r="E734" s="227"/>
      <c r="F734" s="210"/>
      <c r="G734" s="227"/>
      <c r="H734" s="259"/>
      <c r="I734" s="146"/>
      <c r="J734" s="42"/>
      <c r="N734" s="146"/>
    </row>
    <row r="735" spans="1:14">
      <c r="A735" s="197"/>
      <c r="C735" s="331"/>
      <c r="E735" s="227"/>
      <c r="F735" s="210"/>
      <c r="G735" s="227"/>
      <c r="H735" s="259"/>
      <c r="I735" s="146"/>
      <c r="J735" s="42"/>
      <c r="N735" s="146"/>
    </row>
    <row r="736" spans="1:14">
      <c r="A736" s="197"/>
      <c r="C736" s="331"/>
      <c r="E736" s="227"/>
      <c r="F736" s="210"/>
      <c r="G736" s="227"/>
      <c r="H736" s="259"/>
      <c r="I736" s="146"/>
      <c r="J736" s="42"/>
      <c r="N736" s="146"/>
    </row>
    <row r="737" spans="1:14">
      <c r="A737" s="197"/>
      <c r="C737" s="331"/>
      <c r="E737" s="227"/>
      <c r="F737" s="210"/>
      <c r="G737" s="227"/>
      <c r="H737" s="259"/>
      <c r="I737" s="146"/>
      <c r="J737" s="42"/>
      <c r="N737" s="146"/>
    </row>
    <row r="738" spans="1:14">
      <c r="A738" s="197"/>
      <c r="C738" s="331"/>
      <c r="E738" s="227"/>
      <c r="F738" s="210"/>
      <c r="G738" s="227"/>
      <c r="H738" s="259"/>
      <c r="I738" s="146"/>
      <c r="J738" s="42"/>
      <c r="N738" s="146"/>
    </row>
    <row r="739" spans="1:14">
      <c r="A739" s="197"/>
      <c r="C739" s="331"/>
      <c r="E739" s="227"/>
      <c r="F739" s="210"/>
      <c r="G739" s="227"/>
      <c r="H739" s="259"/>
      <c r="I739" s="146"/>
      <c r="J739" s="42"/>
      <c r="N739" s="146"/>
    </row>
    <row r="740" spans="1:14">
      <c r="A740" s="197"/>
      <c r="C740" s="331"/>
      <c r="E740" s="227"/>
      <c r="F740" s="210"/>
      <c r="G740" s="227"/>
      <c r="H740" s="259"/>
      <c r="I740" s="146"/>
      <c r="J740" s="42"/>
      <c r="N740" s="146"/>
    </row>
    <row r="741" spans="1:14">
      <c r="A741" s="197"/>
      <c r="C741" s="331"/>
      <c r="E741" s="227"/>
      <c r="F741" s="210"/>
      <c r="G741" s="227"/>
      <c r="H741" s="259"/>
      <c r="I741" s="146"/>
      <c r="J741" s="42"/>
      <c r="N741" s="146"/>
    </row>
    <row r="742" spans="1:14">
      <c r="A742" s="197"/>
      <c r="C742" s="331"/>
      <c r="E742" s="227"/>
      <c r="F742" s="210"/>
      <c r="G742" s="227"/>
      <c r="H742" s="259"/>
      <c r="I742" s="146"/>
      <c r="J742" s="42"/>
      <c r="N742" s="146"/>
    </row>
    <row r="743" spans="1:14">
      <c r="A743" s="197"/>
      <c r="C743" s="331"/>
      <c r="E743" s="227"/>
      <c r="F743" s="210"/>
      <c r="G743" s="227"/>
      <c r="H743" s="259"/>
      <c r="I743" s="146"/>
      <c r="J743" s="42"/>
      <c r="N743" s="146"/>
    </row>
    <row r="744" spans="1:14">
      <c r="A744" s="197"/>
      <c r="C744" s="331"/>
      <c r="E744" s="227"/>
      <c r="F744" s="210"/>
      <c r="G744" s="227"/>
      <c r="H744" s="259"/>
      <c r="I744" s="146"/>
      <c r="J744" s="42"/>
      <c r="N744" s="146"/>
    </row>
    <row r="745" spans="1:14">
      <c r="A745" s="197"/>
      <c r="C745" s="331"/>
      <c r="E745" s="227"/>
      <c r="F745" s="210"/>
      <c r="G745" s="227"/>
      <c r="H745" s="259"/>
      <c r="I745" s="146"/>
      <c r="J745" s="42"/>
      <c r="N745" s="146"/>
    </row>
    <row r="746" spans="1:14">
      <c r="A746" s="197"/>
      <c r="C746" s="331"/>
      <c r="E746" s="227"/>
      <c r="F746" s="210"/>
      <c r="G746" s="227"/>
      <c r="H746" s="259"/>
      <c r="I746" s="146"/>
      <c r="J746" s="42"/>
      <c r="N746" s="146"/>
    </row>
    <row r="747" spans="1:14">
      <c r="A747" s="197"/>
      <c r="C747" s="331"/>
      <c r="E747" s="227"/>
      <c r="F747" s="210"/>
      <c r="G747" s="227"/>
      <c r="H747" s="259"/>
      <c r="I747" s="146"/>
      <c r="J747" s="42"/>
      <c r="N747" s="146"/>
    </row>
    <row r="748" spans="1:14">
      <c r="A748" s="197"/>
      <c r="C748" s="331"/>
      <c r="E748" s="227"/>
      <c r="F748" s="210"/>
      <c r="G748" s="227"/>
      <c r="H748" s="259"/>
      <c r="I748" s="146"/>
      <c r="J748" s="42"/>
      <c r="N748" s="146"/>
    </row>
    <row r="749" spans="1:14">
      <c r="A749" s="197"/>
      <c r="C749" s="331"/>
      <c r="E749" s="227"/>
      <c r="F749" s="210"/>
      <c r="G749" s="227"/>
      <c r="H749" s="259"/>
      <c r="I749" s="146"/>
      <c r="J749" s="42"/>
      <c r="N749" s="146"/>
    </row>
    <row r="750" spans="1:14">
      <c r="A750" s="197"/>
      <c r="C750" s="331"/>
      <c r="E750" s="227"/>
      <c r="F750" s="210"/>
      <c r="G750" s="227"/>
      <c r="H750" s="259"/>
      <c r="I750" s="146"/>
      <c r="J750" s="42"/>
      <c r="N750" s="146"/>
    </row>
    <row r="751" spans="1:14">
      <c r="A751" s="197"/>
      <c r="C751" s="331"/>
      <c r="E751" s="227"/>
      <c r="F751" s="210"/>
      <c r="G751" s="227"/>
      <c r="H751" s="259"/>
      <c r="I751" s="146"/>
      <c r="J751" s="42"/>
      <c r="N751" s="146"/>
    </row>
    <row r="752" spans="1:14">
      <c r="A752" s="197"/>
      <c r="C752" s="331"/>
      <c r="E752" s="227"/>
      <c r="F752" s="210"/>
      <c r="G752" s="227"/>
      <c r="H752" s="259"/>
      <c r="I752" s="146"/>
      <c r="J752" s="42"/>
      <c r="N752" s="146"/>
    </row>
    <row r="753" spans="1:14">
      <c r="A753" s="197"/>
      <c r="C753" s="331"/>
      <c r="E753" s="227"/>
      <c r="F753" s="210"/>
      <c r="G753" s="227"/>
      <c r="H753" s="259"/>
      <c r="I753" s="146"/>
      <c r="J753" s="42"/>
      <c r="N753" s="146"/>
    </row>
    <row r="754" spans="1:14">
      <c r="A754" s="197"/>
      <c r="C754" s="331"/>
      <c r="E754" s="227"/>
      <c r="F754" s="210"/>
      <c r="G754" s="227"/>
      <c r="H754" s="259"/>
      <c r="I754" s="146"/>
      <c r="J754" s="42"/>
      <c r="N754" s="146"/>
    </row>
    <row r="755" spans="1:14">
      <c r="A755" s="197"/>
      <c r="C755" s="331"/>
      <c r="E755" s="227"/>
      <c r="F755" s="210"/>
      <c r="G755" s="227"/>
      <c r="H755" s="259"/>
      <c r="I755" s="146"/>
      <c r="J755" s="42"/>
      <c r="N755" s="146"/>
    </row>
    <row r="756" spans="1:14">
      <c r="A756" s="197"/>
      <c r="C756" s="331"/>
      <c r="E756" s="227"/>
      <c r="F756" s="210"/>
      <c r="G756" s="227"/>
      <c r="H756" s="259"/>
      <c r="I756" s="146"/>
      <c r="J756" s="42"/>
      <c r="N756" s="146"/>
    </row>
    <row r="757" spans="1:14">
      <c r="A757" s="197"/>
      <c r="C757" s="331"/>
      <c r="E757" s="227"/>
      <c r="F757" s="210"/>
      <c r="G757" s="227"/>
      <c r="H757" s="259"/>
      <c r="I757" s="146"/>
      <c r="J757" s="42"/>
      <c r="N757" s="146"/>
    </row>
    <row r="758" spans="1:14">
      <c r="A758" s="197"/>
      <c r="C758" s="331"/>
      <c r="E758" s="227"/>
      <c r="F758" s="210"/>
      <c r="G758" s="227"/>
      <c r="H758" s="259"/>
      <c r="I758" s="146"/>
      <c r="J758" s="42"/>
      <c r="N758" s="146"/>
    </row>
    <row r="759" spans="1:14">
      <c r="A759" s="197"/>
      <c r="C759" s="331"/>
      <c r="E759" s="227"/>
      <c r="F759" s="210"/>
      <c r="G759" s="227"/>
      <c r="H759" s="259"/>
      <c r="I759" s="146"/>
      <c r="J759" s="42"/>
      <c r="N759" s="146"/>
    </row>
    <row r="760" spans="1:14">
      <c r="A760" s="197"/>
      <c r="C760" s="331"/>
      <c r="E760" s="227"/>
      <c r="F760" s="210"/>
      <c r="G760" s="227"/>
      <c r="H760" s="259"/>
      <c r="I760" s="146"/>
      <c r="J760" s="42"/>
      <c r="N760" s="146"/>
    </row>
    <row r="761" spans="1:14">
      <c r="A761" s="197"/>
      <c r="C761" s="331"/>
      <c r="E761" s="227"/>
      <c r="F761" s="210"/>
      <c r="G761" s="227"/>
      <c r="H761" s="259"/>
      <c r="I761" s="146"/>
      <c r="J761" s="42"/>
      <c r="N761" s="146"/>
    </row>
    <row r="762" spans="1:14">
      <c r="A762" s="197"/>
      <c r="C762" s="331"/>
      <c r="E762" s="227"/>
      <c r="F762" s="210"/>
      <c r="G762" s="227"/>
      <c r="H762" s="259"/>
      <c r="I762" s="146"/>
      <c r="J762" s="42"/>
      <c r="N762" s="146"/>
    </row>
    <row r="763" spans="1:14">
      <c r="A763" s="197"/>
      <c r="C763" s="331"/>
      <c r="E763" s="227"/>
      <c r="F763" s="210"/>
      <c r="G763" s="227"/>
      <c r="H763" s="259"/>
      <c r="I763" s="146"/>
      <c r="J763" s="42"/>
      <c r="N763" s="146"/>
    </row>
    <row r="764" spans="1:14">
      <c r="A764" s="197"/>
      <c r="C764" s="331"/>
      <c r="E764" s="227"/>
      <c r="F764" s="210"/>
      <c r="G764" s="227"/>
      <c r="H764" s="259"/>
      <c r="I764" s="146"/>
      <c r="J764" s="42"/>
      <c r="N764" s="146"/>
    </row>
    <row r="765" spans="1:14">
      <c r="A765" s="197"/>
      <c r="C765" s="331"/>
      <c r="E765" s="227"/>
      <c r="F765" s="210"/>
      <c r="G765" s="227"/>
      <c r="H765" s="259"/>
      <c r="I765" s="146"/>
      <c r="J765" s="42"/>
      <c r="N765" s="146"/>
    </row>
    <row r="766" spans="1:14">
      <c r="A766" s="197"/>
      <c r="C766" s="331"/>
      <c r="E766" s="227"/>
      <c r="F766" s="210"/>
      <c r="G766" s="227"/>
      <c r="H766" s="259"/>
      <c r="I766" s="146"/>
      <c r="J766" s="42"/>
      <c r="N766" s="146"/>
    </row>
    <row r="767" spans="1:14">
      <c r="A767" s="197"/>
      <c r="C767" s="331"/>
      <c r="E767" s="227"/>
      <c r="F767" s="210"/>
      <c r="G767" s="227"/>
      <c r="H767" s="259"/>
      <c r="I767" s="146"/>
      <c r="J767" s="42"/>
      <c r="N767" s="146"/>
    </row>
    <row r="768" spans="1:14">
      <c r="A768" s="197"/>
      <c r="C768" s="331"/>
      <c r="E768" s="227"/>
      <c r="F768" s="210"/>
      <c r="G768" s="227"/>
      <c r="H768" s="259"/>
      <c r="I768" s="146"/>
      <c r="J768" s="42"/>
      <c r="N768" s="146"/>
    </row>
    <row r="769" spans="1:14">
      <c r="A769" s="197"/>
      <c r="C769" s="331"/>
      <c r="E769" s="227"/>
      <c r="F769" s="210"/>
      <c r="G769" s="227"/>
      <c r="H769" s="259"/>
      <c r="I769" s="146"/>
      <c r="J769" s="42"/>
      <c r="N769" s="146"/>
    </row>
    <row r="770" spans="1:14">
      <c r="A770" s="197"/>
      <c r="C770" s="331"/>
      <c r="E770" s="227"/>
      <c r="F770" s="210"/>
      <c r="G770" s="227"/>
      <c r="H770" s="259"/>
      <c r="I770" s="146"/>
      <c r="J770" s="42"/>
      <c r="N770" s="146"/>
    </row>
    <row r="771" spans="1:14">
      <c r="A771" s="197"/>
      <c r="C771" s="331"/>
      <c r="E771" s="227"/>
      <c r="F771" s="210"/>
      <c r="G771" s="227"/>
      <c r="H771" s="259"/>
      <c r="I771" s="146"/>
      <c r="J771" s="42"/>
      <c r="N771" s="146"/>
    </row>
    <row r="772" spans="1:14">
      <c r="A772" s="197"/>
      <c r="C772" s="331"/>
      <c r="E772" s="227"/>
      <c r="F772" s="210"/>
      <c r="G772" s="227"/>
      <c r="H772" s="259"/>
      <c r="I772" s="146"/>
      <c r="J772" s="42"/>
      <c r="N772" s="146"/>
    </row>
    <row r="773" spans="1:14">
      <c r="A773" s="197"/>
      <c r="C773" s="331"/>
      <c r="E773" s="227"/>
      <c r="F773" s="210"/>
      <c r="G773" s="227"/>
      <c r="H773" s="259"/>
      <c r="I773" s="146"/>
      <c r="J773" s="42"/>
      <c r="N773" s="146"/>
    </row>
    <row r="774" spans="1:14">
      <c r="A774" s="197"/>
      <c r="C774" s="331"/>
      <c r="E774" s="227"/>
      <c r="F774" s="210"/>
      <c r="G774" s="227"/>
      <c r="H774" s="259"/>
      <c r="I774" s="146"/>
      <c r="J774" s="42"/>
      <c r="N774" s="146"/>
    </row>
    <row r="775" spans="1:14">
      <c r="A775" s="197"/>
      <c r="C775" s="331"/>
      <c r="E775" s="227"/>
      <c r="F775" s="210"/>
      <c r="G775" s="227"/>
      <c r="H775" s="259"/>
      <c r="I775" s="146"/>
      <c r="J775" s="42"/>
      <c r="N775" s="146"/>
    </row>
    <row r="776" spans="1:14">
      <c r="A776" s="197"/>
      <c r="C776" s="331"/>
      <c r="E776" s="227"/>
      <c r="F776" s="210"/>
      <c r="G776" s="227"/>
      <c r="H776" s="259"/>
      <c r="I776" s="146"/>
      <c r="J776" s="42"/>
      <c r="N776" s="146"/>
    </row>
    <row r="777" spans="1:14">
      <c r="A777" s="197"/>
      <c r="C777" s="331"/>
      <c r="E777" s="227"/>
      <c r="F777" s="210"/>
      <c r="G777" s="227"/>
      <c r="H777" s="259"/>
      <c r="I777" s="146"/>
      <c r="J777" s="42"/>
      <c r="N777" s="146"/>
    </row>
    <row r="778" spans="1:14">
      <c r="A778" s="197"/>
      <c r="C778" s="331"/>
      <c r="E778" s="227"/>
      <c r="F778" s="210"/>
      <c r="G778" s="227"/>
      <c r="H778" s="259"/>
      <c r="I778" s="146"/>
      <c r="J778" s="42"/>
      <c r="N778" s="146"/>
    </row>
    <row r="779" spans="1:14">
      <c r="A779" s="197"/>
      <c r="C779" s="331"/>
      <c r="E779" s="227"/>
      <c r="F779" s="210"/>
      <c r="G779" s="227"/>
      <c r="H779" s="259"/>
      <c r="I779" s="146"/>
      <c r="J779" s="42"/>
      <c r="N779" s="146"/>
    </row>
    <row r="780" spans="1:14">
      <c r="A780" s="197"/>
      <c r="C780" s="331"/>
      <c r="E780" s="227"/>
      <c r="F780" s="210"/>
      <c r="G780" s="227"/>
      <c r="H780" s="259"/>
      <c r="I780" s="146"/>
      <c r="J780" s="42"/>
      <c r="N780" s="146"/>
    </row>
    <row r="781" spans="1:14">
      <c r="A781" s="197"/>
      <c r="C781" s="331"/>
      <c r="E781" s="227"/>
      <c r="F781" s="210"/>
      <c r="G781" s="227"/>
      <c r="H781" s="259"/>
      <c r="I781" s="146"/>
      <c r="J781" s="42"/>
      <c r="N781" s="146"/>
    </row>
    <row r="782" spans="1:14">
      <c r="A782" s="197"/>
      <c r="C782" s="331"/>
      <c r="E782" s="227"/>
      <c r="F782" s="210"/>
      <c r="G782" s="227"/>
      <c r="H782" s="259"/>
      <c r="I782" s="146"/>
      <c r="J782" s="42"/>
      <c r="N782" s="146"/>
    </row>
    <row r="783" spans="1:14">
      <c r="A783" s="197"/>
      <c r="C783" s="331"/>
      <c r="E783" s="227"/>
      <c r="F783" s="210"/>
      <c r="G783" s="227"/>
      <c r="H783" s="259"/>
      <c r="I783" s="146"/>
      <c r="J783" s="42"/>
      <c r="N783" s="146"/>
    </row>
    <row r="784" spans="1:14">
      <c r="A784" s="197"/>
      <c r="C784" s="331"/>
      <c r="E784" s="227"/>
      <c r="F784" s="210"/>
      <c r="G784" s="227"/>
      <c r="H784" s="259"/>
      <c r="I784" s="146"/>
      <c r="J784" s="42"/>
      <c r="N784" s="146"/>
    </row>
    <row r="785" spans="1:14">
      <c r="A785" s="197"/>
      <c r="C785" s="331"/>
      <c r="E785" s="227"/>
      <c r="F785" s="210"/>
      <c r="G785" s="227"/>
      <c r="H785" s="259"/>
      <c r="I785" s="146"/>
      <c r="J785" s="42"/>
      <c r="N785" s="146"/>
    </row>
    <row r="786" spans="1:14">
      <c r="A786" s="197"/>
      <c r="C786" s="331"/>
      <c r="E786" s="227"/>
      <c r="F786" s="210"/>
      <c r="G786" s="227"/>
      <c r="H786" s="259"/>
      <c r="I786" s="146"/>
      <c r="J786" s="42"/>
      <c r="N786" s="146"/>
    </row>
    <row r="787" spans="1:14">
      <c r="A787" s="197"/>
      <c r="C787" s="331"/>
      <c r="E787" s="227"/>
      <c r="F787" s="210"/>
      <c r="G787" s="227"/>
      <c r="H787" s="259"/>
      <c r="I787" s="146"/>
      <c r="J787" s="42"/>
      <c r="N787" s="146"/>
    </row>
    <row r="788" spans="1:14">
      <c r="A788" s="197"/>
      <c r="C788" s="331"/>
      <c r="E788" s="227"/>
      <c r="F788" s="210"/>
      <c r="G788" s="227"/>
      <c r="H788" s="259"/>
      <c r="I788" s="146"/>
      <c r="J788" s="42"/>
      <c r="N788" s="146"/>
    </row>
    <row r="789" spans="1:14">
      <c r="A789" s="197"/>
      <c r="C789" s="331"/>
      <c r="E789" s="227"/>
      <c r="F789" s="210"/>
      <c r="G789" s="227"/>
      <c r="H789" s="259"/>
      <c r="I789" s="146"/>
      <c r="J789" s="42"/>
      <c r="N789" s="146"/>
    </row>
    <row r="790" spans="1:14">
      <c r="A790" s="197"/>
      <c r="C790" s="331"/>
      <c r="E790" s="227"/>
      <c r="F790" s="210"/>
      <c r="G790" s="227"/>
      <c r="H790" s="259"/>
      <c r="I790" s="146"/>
      <c r="J790" s="42"/>
      <c r="N790" s="146"/>
    </row>
    <row r="791" spans="1:14">
      <c r="A791" s="197"/>
      <c r="C791" s="331"/>
      <c r="E791" s="227"/>
      <c r="F791" s="210"/>
      <c r="G791" s="227"/>
      <c r="H791" s="259"/>
      <c r="I791" s="146"/>
      <c r="J791" s="42"/>
      <c r="N791" s="146"/>
    </row>
    <row r="792" spans="1:14">
      <c r="A792" s="197"/>
      <c r="C792" s="331"/>
      <c r="E792" s="227"/>
      <c r="F792" s="210"/>
      <c r="G792" s="227"/>
      <c r="H792" s="259"/>
      <c r="I792" s="146"/>
      <c r="J792" s="42"/>
      <c r="N792" s="146"/>
    </row>
    <row r="793" spans="1:14">
      <c r="A793" s="197"/>
      <c r="C793" s="331"/>
      <c r="E793" s="227"/>
      <c r="F793" s="210"/>
      <c r="G793" s="227"/>
      <c r="H793" s="259"/>
      <c r="I793" s="146"/>
      <c r="J793" s="42"/>
      <c r="N793" s="146"/>
    </row>
    <row r="794" spans="1:14">
      <c r="A794" s="197"/>
      <c r="C794" s="331"/>
      <c r="E794" s="227"/>
      <c r="F794" s="210"/>
      <c r="G794" s="227"/>
      <c r="H794" s="259"/>
      <c r="I794" s="146"/>
      <c r="J794" s="42"/>
      <c r="N794" s="146"/>
    </row>
    <row r="795" spans="1:14">
      <c r="A795" s="197"/>
      <c r="C795" s="331"/>
      <c r="E795" s="227"/>
      <c r="F795" s="210"/>
      <c r="G795" s="227"/>
      <c r="H795" s="259"/>
      <c r="I795" s="146"/>
      <c r="J795" s="42"/>
      <c r="N795" s="146"/>
    </row>
    <row r="796" spans="1:14">
      <c r="A796" s="197"/>
      <c r="C796" s="331"/>
      <c r="E796" s="227"/>
      <c r="F796" s="210"/>
      <c r="G796" s="227"/>
      <c r="H796" s="259"/>
      <c r="I796" s="146"/>
      <c r="J796" s="42"/>
      <c r="N796" s="146"/>
    </row>
    <row r="797" spans="1:14">
      <c r="A797" s="197"/>
      <c r="C797" s="331"/>
      <c r="E797" s="227"/>
      <c r="F797" s="210"/>
      <c r="G797" s="227"/>
      <c r="H797" s="259"/>
      <c r="I797" s="146"/>
      <c r="J797" s="42"/>
      <c r="N797" s="146"/>
    </row>
    <row r="798" spans="1:14">
      <c r="A798" s="197"/>
      <c r="C798" s="331"/>
      <c r="E798" s="227"/>
      <c r="F798" s="210"/>
      <c r="G798" s="227"/>
      <c r="H798" s="259"/>
      <c r="I798" s="146"/>
      <c r="J798" s="42"/>
      <c r="N798" s="146"/>
    </row>
    <row r="799" spans="1:14">
      <c r="A799" s="197"/>
      <c r="C799" s="331"/>
      <c r="E799" s="227"/>
      <c r="F799" s="210"/>
      <c r="G799" s="227"/>
      <c r="H799" s="259"/>
      <c r="I799" s="146"/>
      <c r="J799" s="42"/>
      <c r="N799" s="146"/>
    </row>
    <row r="800" spans="1:14">
      <c r="A800" s="197"/>
      <c r="C800" s="331"/>
      <c r="E800" s="227"/>
      <c r="F800" s="210"/>
      <c r="G800" s="227"/>
      <c r="H800" s="259"/>
      <c r="I800" s="146"/>
      <c r="J800" s="42"/>
      <c r="N800" s="146"/>
    </row>
    <row r="801" spans="1:14">
      <c r="A801" s="197"/>
      <c r="C801" s="331"/>
      <c r="E801" s="227"/>
      <c r="F801" s="210"/>
      <c r="G801" s="227"/>
      <c r="H801" s="259"/>
      <c r="I801" s="146"/>
      <c r="J801" s="42"/>
      <c r="N801" s="146"/>
    </row>
    <row r="802" spans="1:14">
      <c r="A802" s="197"/>
      <c r="C802" s="331"/>
      <c r="E802" s="227"/>
      <c r="F802" s="210"/>
      <c r="G802" s="227"/>
      <c r="H802" s="259"/>
      <c r="I802" s="146"/>
      <c r="J802" s="42"/>
      <c r="N802" s="146"/>
    </row>
    <row r="803" spans="1:14">
      <c r="A803" s="197"/>
      <c r="C803" s="331"/>
      <c r="E803" s="227"/>
      <c r="F803" s="210"/>
      <c r="G803" s="227"/>
      <c r="H803" s="259"/>
      <c r="I803" s="146"/>
      <c r="J803" s="42"/>
      <c r="N803" s="146"/>
    </row>
    <row r="804" spans="1:14">
      <c r="A804" s="197"/>
      <c r="C804" s="331"/>
      <c r="E804" s="227"/>
      <c r="F804" s="210"/>
      <c r="G804" s="227"/>
      <c r="H804" s="259"/>
      <c r="I804" s="146"/>
      <c r="J804" s="42"/>
      <c r="N804" s="146"/>
    </row>
    <row r="805" spans="1:14">
      <c r="A805" s="197"/>
      <c r="C805" s="331"/>
      <c r="E805" s="227"/>
      <c r="F805" s="210"/>
      <c r="G805" s="227"/>
      <c r="H805" s="259"/>
      <c r="I805" s="146"/>
      <c r="J805" s="42"/>
      <c r="N805" s="146"/>
    </row>
    <row r="806" spans="1:14">
      <c r="A806" s="197"/>
      <c r="C806" s="331"/>
      <c r="E806" s="227"/>
      <c r="F806" s="210"/>
      <c r="G806" s="227"/>
      <c r="H806" s="259"/>
      <c r="I806" s="146"/>
      <c r="J806" s="42"/>
      <c r="N806" s="146"/>
    </row>
    <row r="807" spans="1:14">
      <c r="A807" s="197"/>
      <c r="C807" s="331"/>
      <c r="E807" s="227"/>
      <c r="F807" s="210"/>
      <c r="G807" s="227"/>
      <c r="H807" s="259"/>
      <c r="I807" s="146"/>
      <c r="J807" s="42"/>
      <c r="N807" s="146"/>
    </row>
    <row r="808" spans="1:14">
      <c r="A808" s="197"/>
      <c r="C808" s="331"/>
      <c r="E808" s="227"/>
      <c r="F808" s="210"/>
      <c r="G808" s="227"/>
      <c r="H808" s="259"/>
      <c r="I808" s="146"/>
      <c r="J808" s="42"/>
      <c r="N808" s="146"/>
    </row>
    <row r="809" spans="1:14">
      <c r="A809" s="197"/>
      <c r="C809" s="331"/>
      <c r="E809" s="227"/>
      <c r="F809" s="210"/>
      <c r="G809" s="227"/>
      <c r="H809" s="259"/>
      <c r="I809" s="146"/>
      <c r="J809" s="42"/>
      <c r="N809" s="146"/>
    </row>
    <row r="810" spans="1:14">
      <c r="A810" s="197"/>
      <c r="C810" s="331"/>
      <c r="E810" s="227"/>
      <c r="F810" s="210"/>
      <c r="G810" s="227"/>
      <c r="H810" s="259"/>
      <c r="I810" s="146"/>
      <c r="J810" s="42"/>
      <c r="N810" s="146"/>
    </row>
    <row r="811" spans="1:14">
      <c r="A811" s="197"/>
      <c r="C811" s="331"/>
      <c r="E811" s="227"/>
      <c r="F811" s="210"/>
      <c r="G811" s="227"/>
      <c r="H811" s="259"/>
      <c r="I811" s="146"/>
      <c r="J811" s="42"/>
      <c r="N811" s="146"/>
    </row>
    <row r="812" spans="1:14">
      <c r="A812" s="197"/>
      <c r="C812" s="331"/>
      <c r="E812" s="227"/>
      <c r="F812" s="210"/>
      <c r="G812" s="227"/>
      <c r="H812" s="259"/>
      <c r="I812" s="146"/>
      <c r="J812" s="42"/>
      <c r="N812" s="146"/>
    </row>
    <row r="813" spans="1:14">
      <c r="A813" s="197"/>
      <c r="C813" s="331"/>
      <c r="E813" s="227"/>
      <c r="F813" s="210"/>
      <c r="G813" s="227"/>
      <c r="H813" s="259"/>
      <c r="I813" s="146"/>
      <c r="J813" s="42"/>
      <c r="N813" s="146"/>
    </row>
    <row r="814" spans="1:14">
      <c r="A814" s="197"/>
      <c r="C814" s="331"/>
      <c r="E814" s="227"/>
      <c r="F814" s="210"/>
      <c r="G814" s="227"/>
      <c r="H814" s="259"/>
      <c r="I814" s="146"/>
      <c r="J814" s="42"/>
      <c r="N814" s="146"/>
    </row>
    <row r="815" spans="1:14">
      <c r="A815" s="197"/>
      <c r="C815" s="331"/>
      <c r="E815" s="227"/>
      <c r="F815" s="210"/>
      <c r="G815" s="227"/>
      <c r="H815" s="259"/>
      <c r="I815" s="146"/>
      <c r="J815" s="42"/>
      <c r="N815" s="146"/>
    </row>
    <row r="816" spans="1:14">
      <c r="A816" s="197"/>
      <c r="C816" s="331"/>
      <c r="E816" s="227"/>
      <c r="F816" s="210"/>
      <c r="G816" s="227"/>
      <c r="H816" s="259"/>
      <c r="I816" s="146"/>
      <c r="J816" s="42"/>
      <c r="N816" s="146"/>
    </row>
    <row r="817" spans="1:14">
      <c r="A817" s="197"/>
      <c r="C817" s="331"/>
      <c r="E817" s="227"/>
      <c r="F817" s="210"/>
      <c r="G817" s="227"/>
      <c r="H817" s="259"/>
      <c r="I817" s="146"/>
      <c r="J817" s="42"/>
      <c r="N817" s="146"/>
    </row>
    <row r="818" spans="1:14">
      <c r="A818" s="197"/>
      <c r="C818" s="331"/>
      <c r="E818" s="227"/>
      <c r="F818" s="210"/>
      <c r="G818" s="227"/>
      <c r="H818" s="259"/>
      <c r="I818" s="146"/>
      <c r="J818" s="42"/>
      <c r="N818" s="146"/>
    </row>
    <row r="819" spans="1:14">
      <c r="A819" s="197"/>
      <c r="C819" s="331"/>
      <c r="E819" s="227"/>
      <c r="F819" s="210"/>
      <c r="G819" s="227"/>
      <c r="H819" s="259"/>
      <c r="I819" s="146"/>
      <c r="J819" s="42"/>
      <c r="N819" s="146"/>
    </row>
    <row r="820" spans="1:14">
      <c r="A820" s="197"/>
      <c r="C820" s="331"/>
      <c r="E820" s="227"/>
      <c r="F820" s="210"/>
      <c r="G820" s="227"/>
      <c r="H820" s="259"/>
      <c r="I820" s="146"/>
      <c r="J820" s="42"/>
      <c r="N820" s="146"/>
    </row>
    <row r="821" spans="1:14">
      <c r="A821" s="197"/>
      <c r="C821" s="331"/>
      <c r="E821" s="227"/>
      <c r="F821" s="210"/>
      <c r="G821" s="227"/>
      <c r="H821" s="259"/>
      <c r="I821" s="146"/>
      <c r="J821" s="42"/>
      <c r="N821" s="146"/>
    </row>
    <row r="822" spans="1:14">
      <c r="A822" s="197"/>
      <c r="C822" s="331"/>
      <c r="E822" s="227"/>
      <c r="F822" s="210"/>
      <c r="G822" s="227"/>
      <c r="H822" s="259"/>
      <c r="I822" s="146"/>
      <c r="J822" s="42"/>
      <c r="N822" s="146"/>
    </row>
    <row r="823" spans="1:14">
      <c r="A823" s="197"/>
      <c r="C823" s="331"/>
      <c r="E823" s="227"/>
      <c r="F823" s="210"/>
      <c r="G823" s="227"/>
      <c r="H823" s="259"/>
      <c r="I823" s="146"/>
      <c r="J823" s="42"/>
      <c r="N823" s="146"/>
    </row>
    <row r="824" spans="1:14">
      <c r="A824" s="197"/>
      <c r="C824" s="331"/>
      <c r="E824" s="227"/>
      <c r="F824" s="210"/>
      <c r="G824" s="227"/>
      <c r="H824" s="259"/>
      <c r="I824" s="146"/>
      <c r="J824" s="42"/>
      <c r="N824" s="146"/>
    </row>
    <row r="825" spans="1:14">
      <c r="A825" s="197"/>
      <c r="C825" s="331"/>
      <c r="E825" s="227"/>
      <c r="F825" s="210"/>
      <c r="G825" s="227"/>
      <c r="H825" s="259"/>
      <c r="I825" s="146"/>
      <c r="J825" s="42"/>
      <c r="N825" s="146"/>
    </row>
    <row r="826" spans="1:14">
      <c r="A826" s="197"/>
      <c r="C826" s="331"/>
      <c r="E826" s="227"/>
      <c r="F826" s="210"/>
      <c r="G826" s="227"/>
      <c r="H826" s="259"/>
      <c r="I826" s="146"/>
      <c r="J826" s="42"/>
      <c r="N826" s="146"/>
    </row>
    <row r="827" spans="1:14">
      <c r="A827" s="197"/>
      <c r="C827" s="331"/>
      <c r="E827" s="227"/>
      <c r="F827" s="210"/>
      <c r="G827" s="227"/>
      <c r="H827" s="259"/>
      <c r="I827" s="146"/>
      <c r="J827" s="42"/>
      <c r="N827" s="146"/>
    </row>
    <row r="828" spans="1:14">
      <c r="A828" s="197"/>
      <c r="C828" s="331"/>
      <c r="E828" s="227"/>
      <c r="F828" s="210"/>
      <c r="G828" s="227"/>
      <c r="H828" s="259"/>
      <c r="I828" s="146"/>
      <c r="J828" s="42"/>
      <c r="N828" s="146"/>
    </row>
    <row r="829" spans="1:14">
      <c r="A829" s="197"/>
      <c r="C829" s="331"/>
      <c r="E829" s="227"/>
      <c r="F829" s="210"/>
      <c r="G829" s="227"/>
      <c r="H829" s="259"/>
      <c r="I829" s="146"/>
      <c r="J829" s="42"/>
      <c r="N829" s="146"/>
    </row>
    <row r="830" spans="1:14">
      <c r="A830" s="197"/>
      <c r="C830" s="331"/>
      <c r="E830" s="227"/>
      <c r="F830" s="210"/>
      <c r="G830" s="227"/>
      <c r="H830" s="259"/>
      <c r="I830" s="146"/>
      <c r="J830" s="42"/>
      <c r="N830" s="146"/>
    </row>
    <row r="831" spans="1:14">
      <c r="A831" s="197"/>
      <c r="C831" s="331"/>
      <c r="E831" s="227"/>
      <c r="F831" s="210"/>
      <c r="G831" s="227"/>
      <c r="H831" s="259"/>
      <c r="I831" s="146"/>
      <c r="J831" s="42"/>
      <c r="N831" s="146"/>
    </row>
    <row r="832" spans="1:14">
      <c r="A832" s="197"/>
      <c r="C832" s="331"/>
      <c r="E832" s="227"/>
      <c r="F832" s="210"/>
      <c r="G832" s="227"/>
      <c r="H832" s="259"/>
      <c r="I832" s="146"/>
      <c r="J832" s="42"/>
      <c r="N832" s="146"/>
    </row>
    <row r="833" spans="1:14">
      <c r="A833" s="197"/>
      <c r="C833" s="331"/>
      <c r="E833" s="227"/>
      <c r="F833" s="210"/>
      <c r="G833" s="227"/>
      <c r="H833" s="259"/>
      <c r="I833" s="146"/>
      <c r="J833" s="42"/>
      <c r="N833" s="146"/>
    </row>
    <row r="834" spans="1:14">
      <c r="A834" s="197"/>
      <c r="C834" s="331"/>
      <c r="E834" s="227"/>
      <c r="F834" s="210"/>
      <c r="G834" s="227"/>
      <c r="H834" s="259"/>
      <c r="I834" s="146"/>
      <c r="J834" s="42"/>
      <c r="N834" s="146"/>
    </row>
    <row r="835" spans="1:14">
      <c r="A835" s="197"/>
      <c r="C835" s="331"/>
      <c r="E835" s="227"/>
      <c r="F835" s="210"/>
      <c r="G835" s="227"/>
      <c r="H835" s="259"/>
      <c r="I835" s="146"/>
      <c r="J835" s="42"/>
      <c r="N835" s="146"/>
    </row>
    <row r="836" spans="1:14">
      <c r="A836" s="197"/>
      <c r="C836" s="331"/>
      <c r="E836" s="227"/>
      <c r="F836" s="210"/>
      <c r="G836" s="227"/>
      <c r="H836" s="259"/>
      <c r="I836" s="146"/>
      <c r="J836" s="42"/>
      <c r="N836" s="146"/>
    </row>
    <row r="837" spans="1:14">
      <c r="A837" s="197"/>
      <c r="C837" s="331"/>
      <c r="E837" s="227"/>
      <c r="F837" s="210"/>
      <c r="G837" s="227"/>
      <c r="H837" s="259"/>
      <c r="I837" s="146"/>
      <c r="J837" s="42"/>
      <c r="N837" s="146"/>
    </row>
    <row r="838" spans="1:14">
      <c r="A838" s="197"/>
      <c r="C838" s="331"/>
      <c r="E838" s="227"/>
      <c r="F838" s="210"/>
      <c r="G838" s="227"/>
      <c r="H838" s="259"/>
      <c r="I838" s="146"/>
      <c r="J838" s="42"/>
      <c r="N838" s="146"/>
    </row>
    <row r="839" spans="1:14">
      <c r="A839" s="197"/>
      <c r="C839" s="331"/>
      <c r="E839" s="227"/>
      <c r="F839" s="210"/>
      <c r="G839" s="227"/>
      <c r="H839" s="259"/>
      <c r="I839" s="146"/>
      <c r="J839" s="42"/>
      <c r="N839" s="146"/>
    </row>
    <row r="840" spans="1:14">
      <c r="A840" s="197"/>
      <c r="C840" s="331"/>
      <c r="E840" s="227"/>
      <c r="F840" s="210"/>
      <c r="G840" s="227"/>
      <c r="H840" s="259"/>
      <c r="I840" s="146"/>
      <c r="J840" s="42"/>
      <c r="N840" s="146"/>
    </row>
    <row r="841" spans="1:14">
      <c r="A841" s="197"/>
      <c r="C841" s="331"/>
      <c r="E841" s="227"/>
      <c r="F841" s="210"/>
      <c r="G841" s="227"/>
      <c r="H841" s="259"/>
      <c r="I841" s="146"/>
      <c r="J841" s="42"/>
      <c r="N841" s="146"/>
    </row>
    <row r="842" spans="1:14">
      <c r="A842" s="197"/>
      <c r="C842" s="331"/>
      <c r="E842" s="227"/>
      <c r="F842" s="210"/>
      <c r="G842" s="227"/>
      <c r="H842" s="259"/>
      <c r="I842" s="146"/>
      <c r="J842" s="42"/>
      <c r="N842" s="146"/>
    </row>
    <row r="843" spans="1:14">
      <c r="A843" s="197"/>
      <c r="C843" s="331"/>
      <c r="E843" s="227"/>
      <c r="F843" s="210"/>
      <c r="G843" s="227"/>
      <c r="H843" s="259"/>
      <c r="I843" s="146"/>
      <c r="J843" s="42"/>
      <c r="N843" s="146"/>
    </row>
    <row r="844" spans="1:14">
      <c r="A844" s="197"/>
      <c r="C844" s="331"/>
      <c r="E844" s="227"/>
      <c r="F844" s="210"/>
      <c r="G844" s="227"/>
      <c r="H844" s="259"/>
      <c r="I844" s="146"/>
      <c r="J844" s="42"/>
      <c r="N844" s="146"/>
    </row>
    <row r="845" spans="1:14">
      <c r="A845" s="197"/>
      <c r="C845" s="331"/>
      <c r="E845" s="227"/>
      <c r="F845" s="210"/>
      <c r="G845" s="227"/>
      <c r="H845" s="259"/>
      <c r="I845" s="146"/>
      <c r="J845" s="42"/>
      <c r="N845" s="146"/>
    </row>
    <row r="846" spans="1:14">
      <c r="A846" s="197"/>
      <c r="C846" s="331"/>
      <c r="E846" s="227"/>
      <c r="F846" s="210"/>
      <c r="G846" s="227"/>
      <c r="H846" s="259"/>
      <c r="I846" s="146"/>
      <c r="J846" s="42"/>
      <c r="N846" s="146"/>
    </row>
    <row r="847" spans="1:14">
      <c r="A847" s="197"/>
      <c r="C847" s="331"/>
      <c r="E847" s="227"/>
      <c r="F847" s="210"/>
      <c r="G847" s="227"/>
      <c r="H847" s="259"/>
      <c r="I847" s="146"/>
      <c r="J847" s="42"/>
      <c r="N847" s="146"/>
    </row>
    <row r="848" spans="1:14">
      <c r="A848" s="197"/>
      <c r="C848" s="331"/>
      <c r="E848" s="227"/>
      <c r="F848" s="210"/>
      <c r="G848" s="227"/>
      <c r="H848" s="259"/>
      <c r="I848" s="146"/>
      <c r="J848" s="42"/>
      <c r="N848" s="146"/>
    </row>
    <row r="849" spans="1:14">
      <c r="A849" s="197"/>
      <c r="C849" s="331"/>
      <c r="E849" s="227"/>
      <c r="F849" s="210"/>
      <c r="G849" s="227"/>
      <c r="H849" s="259"/>
      <c r="I849" s="146"/>
      <c r="J849" s="42"/>
      <c r="N849" s="146"/>
    </row>
    <row r="850" spans="1:14">
      <c r="A850" s="197"/>
      <c r="C850" s="331"/>
      <c r="E850" s="227"/>
      <c r="F850" s="210"/>
      <c r="G850" s="227"/>
      <c r="H850" s="259"/>
      <c r="I850" s="146"/>
      <c r="J850" s="42"/>
      <c r="N850" s="146"/>
    </row>
    <row r="851" spans="1:14">
      <c r="A851" s="197"/>
      <c r="C851" s="331"/>
      <c r="E851" s="227"/>
      <c r="F851" s="210"/>
      <c r="G851" s="227"/>
      <c r="H851" s="259"/>
      <c r="I851" s="146"/>
      <c r="J851" s="42"/>
      <c r="N851" s="146"/>
    </row>
    <row r="852" spans="1:14">
      <c r="A852" s="197"/>
      <c r="C852" s="331"/>
      <c r="E852" s="227"/>
      <c r="F852" s="210"/>
      <c r="G852" s="227"/>
      <c r="H852" s="259"/>
      <c r="I852" s="146"/>
      <c r="J852" s="42"/>
      <c r="N852" s="146"/>
    </row>
    <row r="853" spans="1:14">
      <c r="A853" s="197"/>
      <c r="C853" s="331"/>
      <c r="E853" s="227"/>
      <c r="F853" s="210"/>
      <c r="G853" s="227"/>
      <c r="H853" s="259"/>
      <c r="I853" s="146"/>
      <c r="J853" s="42"/>
      <c r="N853" s="146"/>
    </row>
    <row r="854" spans="1:14">
      <c r="A854" s="197"/>
      <c r="C854" s="331"/>
      <c r="E854" s="227"/>
      <c r="F854" s="210"/>
      <c r="G854" s="227"/>
      <c r="H854" s="259"/>
      <c r="I854" s="146"/>
      <c r="J854" s="42"/>
      <c r="N854" s="146"/>
    </row>
    <row r="855" spans="1:14">
      <c r="A855" s="197"/>
      <c r="C855" s="331"/>
      <c r="E855" s="227"/>
      <c r="F855" s="210"/>
      <c r="G855" s="227"/>
      <c r="H855" s="259"/>
      <c r="I855" s="146"/>
      <c r="J855" s="42"/>
      <c r="N855" s="146"/>
    </row>
    <row r="856" spans="1:14">
      <c r="A856" s="197"/>
      <c r="C856" s="331"/>
      <c r="E856" s="227"/>
      <c r="F856" s="210"/>
      <c r="G856" s="227"/>
      <c r="H856" s="259"/>
      <c r="I856" s="146"/>
      <c r="J856" s="42"/>
      <c r="N856" s="146"/>
    </row>
    <row r="857" spans="1:14">
      <c r="A857" s="197"/>
      <c r="C857" s="331"/>
      <c r="E857" s="227"/>
      <c r="F857" s="210"/>
      <c r="G857" s="227"/>
      <c r="H857" s="259"/>
      <c r="I857" s="146"/>
      <c r="J857" s="42"/>
      <c r="N857" s="146"/>
    </row>
    <row r="858" spans="1:14">
      <c r="A858" s="197"/>
      <c r="C858" s="331"/>
      <c r="E858" s="227"/>
      <c r="F858" s="210"/>
      <c r="G858" s="227"/>
      <c r="H858" s="259"/>
      <c r="I858" s="146"/>
      <c r="J858" s="42"/>
      <c r="N858" s="146"/>
    </row>
    <row r="859" spans="1:14">
      <c r="A859" s="197"/>
      <c r="C859" s="331"/>
      <c r="E859" s="227"/>
      <c r="F859" s="210"/>
      <c r="G859" s="227"/>
      <c r="H859" s="259"/>
      <c r="I859" s="146"/>
      <c r="J859" s="42"/>
      <c r="N859" s="146"/>
    </row>
    <row r="860" spans="1:14">
      <c r="A860" s="197"/>
      <c r="C860" s="331"/>
      <c r="E860" s="227"/>
      <c r="F860" s="210"/>
      <c r="G860" s="227"/>
      <c r="H860" s="259"/>
      <c r="I860" s="146"/>
      <c r="J860" s="42"/>
      <c r="N860" s="146"/>
    </row>
    <row r="861" spans="1:14">
      <c r="A861" s="197"/>
      <c r="C861" s="331"/>
      <c r="E861" s="227"/>
      <c r="F861" s="210"/>
      <c r="G861" s="227"/>
      <c r="H861" s="259"/>
      <c r="I861" s="146"/>
      <c r="J861" s="42"/>
      <c r="N861" s="146"/>
    </row>
    <row r="862" spans="1:14">
      <c r="A862" s="197"/>
      <c r="C862" s="331"/>
      <c r="E862" s="227"/>
      <c r="F862" s="210"/>
      <c r="G862" s="227"/>
      <c r="H862" s="259"/>
      <c r="I862" s="146"/>
      <c r="J862" s="42"/>
      <c r="N862" s="146"/>
    </row>
    <row r="863" spans="1:14">
      <c r="A863" s="197"/>
      <c r="C863" s="331"/>
      <c r="E863" s="227"/>
      <c r="F863" s="210"/>
      <c r="G863" s="227"/>
      <c r="H863" s="259"/>
      <c r="I863" s="146"/>
      <c r="J863" s="42"/>
      <c r="N863" s="146"/>
    </row>
    <row r="864" spans="1:14">
      <c r="A864" s="197"/>
      <c r="C864" s="331"/>
      <c r="E864" s="227"/>
      <c r="F864" s="210"/>
      <c r="G864" s="227"/>
      <c r="H864" s="259"/>
      <c r="I864" s="146"/>
      <c r="J864" s="42"/>
      <c r="N864" s="146"/>
    </row>
    <row r="865" spans="1:14">
      <c r="A865" s="197"/>
      <c r="C865" s="331"/>
      <c r="E865" s="227"/>
      <c r="F865" s="210"/>
      <c r="G865" s="227"/>
      <c r="H865" s="259"/>
      <c r="I865" s="146"/>
      <c r="J865" s="42"/>
      <c r="N865" s="146"/>
    </row>
    <row r="866" spans="1:14">
      <c r="A866" s="197"/>
      <c r="C866" s="331"/>
      <c r="E866" s="227"/>
      <c r="F866" s="210"/>
      <c r="G866" s="227"/>
      <c r="H866" s="259"/>
      <c r="I866" s="146"/>
      <c r="J866" s="42"/>
      <c r="N866" s="146"/>
    </row>
    <row r="867" spans="1:14">
      <c r="A867" s="197"/>
      <c r="C867" s="331"/>
      <c r="E867" s="227"/>
      <c r="F867" s="210"/>
      <c r="G867" s="227"/>
      <c r="H867" s="259"/>
      <c r="I867" s="146"/>
      <c r="J867" s="42"/>
      <c r="N867" s="146"/>
    </row>
    <row r="868" spans="1:14">
      <c r="A868" s="197"/>
      <c r="C868" s="331"/>
      <c r="E868" s="227"/>
      <c r="F868" s="210"/>
      <c r="G868" s="227"/>
      <c r="H868" s="259"/>
      <c r="I868" s="146"/>
      <c r="J868" s="42"/>
      <c r="N868" s="146"/>
    </row>
    <row r="869" spans="1:14">
      <c r="A869" s="197"/>
      <c r="C869" s="331"/>
      <c r="E869" s="227"/>
      <c r="F869" s="210"/>
      <c r="G869" s="227"/>
      <c r="H869" s="259"/>
      <c r="I869" s="146"/>
      <c r="J869" s="42"/>
      <c r="N869" s="146"/>
    </row>
    <row r="870" spans="1:14">
      <c r="A870" s="197"/>
      <c r="C870" s="331"/>
      <c r="E870" s="227"/>
      <c r="F870" s="210"/>
      <c r="G870" s="227"/>
      <c r="H870" s="259"/>
      <c r="I870" s="146"/>
      <c r="J870" s="42"/>
      <c r="N870" s="146"/>
    </row>
    <row r="871" spans="1:14">
      <c r="A871" s="197"/>
      <c r="C871" s="331"/>
      <c r="E871" s="227"/>
      <c r="F871" s="210"/>
      <c r="G871" s="227"/>
      <c r="H871" s="259"/>
      <c r="I871" s="146"/>
      <c r="J871" s="42"/>
      <c r="N871" s="146"/>
    </row>
    <row r="872" spans="1:14">
      <c r="A872" s="197"/>
      <c r="C872" s="331"/>
      <c r="E872" s="227"/>
      <c r="F872" s="210"/>
      <c r="G872" s="227"/>
      <c r="H872" s="259"/>
      <c r="I872" s="146"/>
      <c r="J872" s="42"/>
      <c r="N872" s="146"/>
    </row>
    <row r="873" spans="1:14">
      <c r="A873" s="197"/>
      <c r="C873" s="331"/>
      <c r="E873" s="227"/>
      <c r="F873" s="210"/>
      <c r="G873" s="227"/>
      <c r="H873" s="259"/>
      <c r="I873" s="146"/>
      <c r="J873" s="42"/>
      <c r="N873" s="146"/>
    </row>
    <row r="874" spans="1:14">
      <c r="A874" s="197"/>
      <c r="C874" s="331"/>
      <c r="E874" s="227"/>
      <c r="F874" s="210"/>
      <c r="G874" s="227"/>
      <c r="H874" s="259"/>
      <c r="I874" s="146"/>
      <c r="J874" s="42"/>
      <c r="N874" s="146"/>
    </row>
    <row r="875" spans="1:14">
      <c r="A875" s="197"/>
      <c r="C875" s="331"/>
      <c r="E875" s="227"/>
      <c r="F875" s="210"/>
      <c r="G875" s="227"/>
      <c r="H875" s="259"/>
      <c r="I875" s="146"/>
      <c r="J875" s="42"/>
      <c r="N875" s="146"/>
    </row>
    <row r="876" spans="1:14">
      <c r="A876" s="197"/>
      <c r="C876" s="331"/>
      <c r="E876" s="227"/>
      <c r="F876" s="210"/>
      <c r="G876" s="227"/>
      <c r="H876" s="259"/>
      <c r="I876" s="146"/>
      <c r="J876" s="42"/>
      <c r="N876" s="146"/>
    </row>
    <row r="877" spans="1:14">
      <c r="A877" s="197"/>
      <c r="C877" s="331"/>
      <c r="E877" s="227"/>
      <c r="F877" s="210"/>
      <c r="G877" s="227"/>
      <c r="H877" s="259"/>
      <c r="I877" s="146"/>
      <c r="J877" s="42"/>
      <c r="N877" s="146"/>
    </row>
    <row r="878" spans="1:14">
      <c r="A878" s="197"/>
      <c r="C878" s="331"/>
      <c r="E878" s="227"/>
      <c r="F878" s="210"/>
      <c r="G878" s="227"/>
      <c r="H878" s="259"/>
      <c r="I878" s="146"/>
      <c r="J878" s="42"/>
      <c r="N878" s="146"/>
    </row>
    <row r="879" spans="1:14">
      <c r="A879" s="197"/>
      <c r="C879" s="331"/>
      <c r="E879" s="227"/>
      <c r="F879" s="210"/>
      <c r="G879" s="227"/>
      <c r="H879" s="259"/>
      <c r="I879" s="146"/>
      <c r="J879" s="42"/>
      <c r="N879" s="146"/>
    </row>
    <row r="880" spans="1:14">
      <c r="A880" s="197"/>
      <c r="C880" s="331"/>
      <c r="E880" s="227"/>
      <c r="F880" s="210"/>
      <c r="G880" s="227"/>
      <c r="H880" s="259"/>
      <c r="I880" s="146"/>
      <c r="J880" s="42"/>
      <c r="N880" s="146"/>
    </row>
    <row r="881" spans="1:14">
      <c r="A881" s="197"/>
      <c r="C881" s="331"/>
      <c r="E881" s="227"/>
      <c r="F881" s="210"/>
      <c r="G881" s="227"/>
      <c r="H881" s="259"/>
      <c r="I881" s="146"/>
      <c r="J881" s="42"/>
      <c r="N881" s="146"/>
    </row>
    <row r="882" spans="1:14">
      <c r="A882" s="197"/>
      <c r="C882" s="331"/>
      <c r="E882" s="227"/>
      <c r="F882" s="210"/>
      <c r="G882" s="227"/>
      <c r="H882" s="259"/>
      <c r="I882" s="146"/>
      <c r="J882" s="42"/>
      <c r="N882" s="146"/>
    </row>
    <row r="883" spans="1:14">
      <c r="A883" s="197"/>
      <c r="C883" s="331"/>
      <c r="E883" s="227"/>
      <c r="F883" s="210"/>
      <c r="G883" s="227"/>
      <c r="H883" s="259"/>
      <c r="I883" s="146"/>
      <c r="J883" s="42"/>
      <c r="N883" s="146"/>
    </row>
    <row r="884" spans="1:14">
      <c r="A884" s="197"/>
      <c r="C884" s="331"/>
      <c r="E884" s="227"/>
      <c r="F884" s="210"/>
      <c r="G884" s="227"/>
      <c r="H884" s="259"/>
      <c r="I884" s="146"/>
      <c r="J884" s="42"/>
      <c r="N884" s="146"/>
    </row>
    <row r="885" spans="1:14">
      <c r="A885" s="197"/>
      <c r="C885" s="331"/>
      <c r="E885" s="227"/>
      <c r="F885" s="210"/>
      <c r="G885" s="227"/>
      <c r="H885" s="259"/>
      <c r="I885" s="146"/>
      <c r="J885" s="42"/>
      <c r="N885" s="146"/>
    </row>
    <row r="886" spans="1:14">
      <c r="A886" s="197"/>
      <c r="C886" s="331"/>
      <c r="E886" s="227"/>
      <c r="F886" s="210"/>
      <c r="G886" s="227"/>
      <c r="H886" s="259"/>
      <c r="I886" s="146"/>
      <c r="J886" s="42"/>
      <c r="N886" s="146"/>
    </row>
    <row r="887" spans="1:14">
      <c r="A887" s="197"/>
      <c r="C887" s="331"/>
      <c r="E887" s="227"/>
      <c r="F887" s="210"/>
      <c r="G887" s="227"/>
      <c r="H887" s="259"/>
      <c r="I887" s="146"/>
      <c r="J887" s="42"/>
      <c r="N887" s="146"/>
    </row>
    <row r="888" spans="1:14">
      <c r="A888" s="197"/>
      <c r="C888" s="331"/>
      <c r="E888" s="227"/>
      <c r="F888" s="210"/>
      <c r="G888" s="227"/>
      <c r="H888" s="259"/>
      <c r="I888" s="146"/>
      <c r="J888" s="42"/>
      <c r="N888" s="146"/>
    </row>
    <row r="889" spans="1:14">
      <c r="A889" s="197"/>
      <c r="C889" s="331"/>
      <c r="E889" s="227"/>
      <c r="F889" s="210"/>
      <c r="G889" s="227"/>
      <c r="H889" s="259"/>
      <c r="I889" s="146"/>
      <c r="J889" s="42"/>
      <c r="N889" s="146"/>
    </row>
    <row r="890" spans="1:14">
      <c r="A890" s="197"/>
      <c r="C890" s="331"/>
      <c r="E890" s="227"/>
      <c r="F890" s="210"/>
      <c r="G890" s="227"/>
      <c r="H890" s="259"/>
      <c r="I890" s="146"/>
      <c r="J890" s="42"/>
      <c r="N890" s="146"/>
    </row>
    <row r="891" spans="1:14">
      <c r="A891" s="197"/>
      <c r="C891" s="331"/>
      <c r="E891" s="227"/>
      <c r="F891" s="210"/>
      <c r="G891" s="227"/>
      <c r="H891" s="259"/>
      <c r="I891" s="146"/>
      <c r="J891" s="42"/>
      <c r="N891" s="146"/>
    </row>
    <row r="892" spans="1:14">
      <c r="A892" s="197"/>
      <c r="C892" s="331"/>
      <c r="E892" s="227"/>
      <c r="F892" s="210"/>
      <c r="G892" s="227"/>
      <c r="H892" s="259"/>
      <c r="I892" s="146"/>
      <c r="J892" s="42"/>
      <c r="N892" s="146"/>
    </row>
    <row r="893" spans="1:14">
      <c r="A893" s="197"/>
      <c r="C893" s="331"/>
      <c r="E893" s="227"/>
      <c r="F893" s="210"/>
      <c r="G893" s="227"/>
      <c r="H893" s="259"/>
      <c r="I893" s="146"/>
      <c r="J893" s="42"/>
      <c r="N893" s="146"/>
    </row>
    <row r="894" spans="1:14">
      <c r="A894" s="197"/>
      <c r="C894" s="331"/>
      <c r="E894" s="227"/>
      <c r="F894" s="210"/>
      <c r="G894" s="227"/>
      <c r="H894" s="259"/>
      <c r="I894" s="146"/>
      <c r="J894" s="42"/>
      <c r="N894" s="146"/>
    </row>
    <row r="895" spans="1:14">
      <c r="A895" s="197"/>
      <c r="C895" s="331"/>
      <c r="E895" s="227"/>
      <c r="F895" s="210"/>
      <c r="G895" s="227"/>
      <c r="H895" s="259"/>
      <c r="I895" s="146"/>
      <c r="J895" s="42"/>
      <c r="N895" s="146"/>
    </row>
    <row r="896" spans="1:14">
      <c r="A896" s="197"/>
      <c r="C896" s="331"/>
      <c r="E896" s="227"/>
      <c r="F896" s="210"/>
      <c r="G896" s="227"/>
      <c r="H896" s="259"/>
      <c r="I896" s="146"/>
      <c r="J896" s="42"/>
      <c r="N896" s="146"/>
    </row>
    <row r="897" spans="1:14">
      <c r="A897" s="197"/>
      <c r="C897" s="331"/>
      <c r="E897" s="227"/>
      <c r="F897" s="210"/>
      <c r="G897" s="227"/>
      <c r="H897" s="259"/>
      <c r="I897" s="146"/>
      <c r="J897" s="42"/>
      <c r="N897" s="146"/>
    </row>
    <row r="898" spans="1:14">
      <c r="A898" s="197"/>
      <c r="C898" s="331"/>
      <c r="E898" s="227"/>
      <c r="F898" s="210"/>
      <c r="G898" s="227"/>
      <c r="H898" s="259"/>
      <c r="I898" s="146"/>
      <c r="J898" s="42"/>
      <c r="N898" s="146"/>
    </row>
    <row r="899" spans="1:14">
      <c r="A899" s="197"/>
      <c r="C899" s="331"/>
      <c r="E899" s="227"/>
      <c r="F899" s="210"/>
      <c r="G899" s="227"/>
      <c r="H899" s="259"/>
      <c r="I899" s="146"/>
      <c r="J899" s="42"/>
      <c r="N899" s="146"/>
    </row>
    <row r="900" spans="1:14">
      <c r="A900" s="197"/>
      <c r="C900" s="331"/>
      <c r="E900" s="227"/>
      <c r="F900" s="210"/>
      <c r="G900" s="227"/>
      <c r="H900" s="259"/>
      <c r="I900" s="146"/>
      <c r="J900" s="42"/>
      <c r="N900" s="146"/>
    </row>
    <row r="901" spans="1:14">
      <c r="A901" s="197"/>
      <c r="C901" s="331"/>
      <c r="E901" s="227"/>
      <c r="F901" s="210"/>
      <c r="G901" s="227"/>
      <c r="H901" s="259"/>
      <c r="I901" s="146"/>
      <c r="J901" s="42"/>
      <c r="N901" s="146"/>
    </row>
    <row r="902" spans="1:14">
      <c r="A902" s="197"/>
      <c r="C902" s="331"/>
      <c r="E902" s="227"/>
      <c r="F902" s="210"/>
      <c r="G902" s="227"/>
      <c r="H902" s="259"/>
      <c r="I902" s="146"/>
      <c r="J902" s="42"/>
      <c r="N902" s="146"/>
    </row>
    <row r="903" spans="1:14">
      <c r="A903" s="197"/>
      <c r="C903" s="331"/>
      <c r="E903" s="227"/>
      <c r="F903" s="210"/>
      <c r="G903" s="227"/>
      <c r="H903" s="259"/>
      <c r="I903" s="146"/>
      <c r="J903" s="42"/>
      <c r="N903" s="146"/>
    </row>
    <row r="904" spans="1:14">
      <c r="A904" s="197"/>
      <c r="C904" s="331"/>
      <c r="E904" s="227"/>
      <c r="F904" s="210"/>
      <c r="G904" s="227"/>
      <c r="H904" s="259"/>
      <c r="I904" s="146"/>
      <c r="J904" s="42"/>
      <c r="N904" s="146"/>
    </row>
    <row r="905" spans="1:14">
      <c r="A905" s="197"/>
      <c r="C905" s="331"/>
      <c r="E905" s="227"/>
      <c r="F905" s="210"/>
      <c r="G905" s="227"/>
      <c r="H905" s="259"/>
      <c r="I905" s="146"/>
      <c r="J905" s="42"/>
      <c r="N905" s="146"/>
    </row>
    <row r="906" spans="1:14">
      <c r="A906" s="197"/>
      <c r="C906" s="331"/>
      <c r="E906" s="227"/>
      <c r="F906" s="210"/>
      <c r="G906" s="227"/>
      <c r="H906" s="259"/>
      <c r="I906" s="146"/>
      <c r="J906" s="42"/>
      <c r="N906" s="146"/>
    </row>
    <row r="907" spans="1:14">
      <c r="A907" s="197"/>
      <c r="C907" s="331"/>
      <c r="E907" s="227"/>
      <c r="F907" s="210"/>
      <c r="G907" s="227"/>
      <c r="H907" s="259"/>
      <c r="I907" s="146"/>
      <c r="J907" s="42"/>
      <c r="N907" s="146"/>
    </row>
    <row r="908" spans="1:14">
      <c r="A908" s="197"/>
      <c r="C908" s="331"/>
      <c r="E908" s="227"/>
      <c r="F908" s="210"/>
      <c r="G908" s="227"/>
      <c r="H908" s="259"/>
      <c r="I908" s="146"/>
      <c r="J908" s="42"/>
      <c r="N908" s="146"/>
    </row>
    <row r="909" spans="1:14">
      <c r="A909" s="197"/>
      <c r="C909" s="331"/>
      <c r="E909" s="227"/>
      <c r="F909" s="210"/>
      <c r="G909" s="227"/>
      <c r="H909" s="259"/>
      <c r="I909" s="146"/>
      <c r="J909" s="42"/>
      <c r="N909" s="146"/>
    </row>
    <row r="910" spans="1:14">
      <c r="A910" s="197"/>
      <c r="C910" s="331"/>
      <c r="E910" s="227"/>
      <c r="F910" s="210"/>
      <c r="G910" s="227"/>
      <c r="H910" s="259"/>
      <c r="I910" s="146"/>
      <c r="J910" s="42"/>
      <c r="N910" s="146"/>
    </row>
    <row r="911" spans="1:14">
      <c r="A911" s="197"/>
      <c r="C911" s="331"/>
      <c r="E911" s="227"/>
      <c r="F911" s="210"/>
      <c r="G911" s="227"/>
      <c r="H911" s="259"/>
      <c r="I911" s="146"/>
      <c r="J911" s="42"/>
      <c r="N911" s="146"/>
    </row>
    <row r="912" spans="1:14">
      <c r="A912" s="197"/>
      <c r="C912" s="331"/>
      <c r="E912" s="227"/>
      <c r="F912" s="210"/>
      <c r="G912" s="227"/>
      <c r="H912" s="259"/>
      <c r="I912" s="146"/>
      <c r="J912" s="42"/>
      <c r="N912" s="146"/>
    </row>
    <row r="913" spans="1:14">
      <c r="A913" s="197"/>
      <c r="C913" s="331"/>
      <c r="E913" s="227"/>
      <c r="F913" s="210"/>
      <c r="G913" s="227"/>
      <c r="H913" s="259"/>
      <c r="I913" s="146"/>
      <c r="J913" s="42"/>
      <c r="N913" s="146"/>
    </row>
    <row r="914" spans="1:14">
      <c r="A914" s="197"/>
      <c r="C914" s="331"/>
      <c r="E914" s="227"/>
      <c r="F914" s="210"/>
      <c r="G914" s="227"/>
      <c r="H914" s="259"/>
      <c r="I914" s="146"/>
      <c r="J914" s="42"/>
      <c r="N914" s="146"/>
    </row>
    <row r="915" spans="1:14">
      <c r="A915" s="197"/>
      <c r="C915" s="331"/>
      <c r="E915" s="227"/>
      <c r="F915" s="210"/>
      <c r="G915" s="227"/>
      <c r="H915" s="259"/>
      <c r="I915" s="146"/>
      <c r="J915" s="42"/>
      <c r="N915" s="146"/>
    </row>
    <row r="916" spans="1:14">
      <c r="A916" s="197"/>
      <c r="C916" s="331"/>
      <c r="E916" s="227"/>
      <c r="F916" s="210"/>
      <c r="G916" s="227"/>
      <c r="H916" s="259"/>
      <c r="I916" s="146"/>
      <c r="J916" s="42"/>
      <c r="N916" s="146"/>
    </row>
    <row r="917" spans="1:14">
      <c r="A917" s="197"/>
      <c r="C917" s="331"/>
      <c r="E917" s="227"/>
      <c r="F917" s="210"/>
      <c r="G917" s="227"/>
      <c r="H917" s="259"/>
      <c r="I917" s="146"/>
      <c r="J917" s="42"/>
      <c r="N917" s="146"/>
    </row>
    <row r="918" spans="1:14">
      <c r="A918" s="197"/>
      <c r="C918" s="331"/>
      <c r="E918" s="227"/>
      <c r="F918" s="210"/>
      <c r="G918" s="227"/>
      <c r="H918" s="259"/>
      <c r="I918" s="146"/>
      <c r="J918" s="42"/>
      <c r="N918" s="146"/>
    </row>
    <row r="919" spans="1:14">
      <c r="A919" s="197"/>
      <c r="C919" s="331"/>
      <c r="E919" s="227"/>
      <c r="F919" s="210"/>
      <c r="G919" s="227"/>
      <c r="H919" s="259"/>
      <c r="I919" s="146"/>
      <c r="J919" s="42"/>
      <c r="N919" s="146"/>
    </row>
    <row r="920" spans="1:14">
      <c r="A920" s="197"/>
      <c r="C920" s="331"/>
      <c r="E920" s="227"/>
      <c r="F920" s="210"/>
      <c r="G920" s="227"/>
      <c r="H920" s="259"/>
      <c r="I920" s="146"/>
      <c r="J920" s="42"/>
      <c r="N920" s="146"/>
    </row>
    <row r="921" spans="1:14">
      <c r="A921" s="197"/>
      <c r="C921" s="331"/>
      <c r="E921" s="227"/>
      <c r="F921" s="210"/>
      <c r="G921" s="227"/>
      <c r="H921" s="259"/>
      <c r="I921" s="146"/>
      <c r="J921" s="42"/>
      <c r="N921" s="146"/>
    </row>
    <row r="922" spans="1:14">
      <c r="A922" s="197"/>
      <c r="C922" s="331"/>
      <c r="E922" s="227"/>
      <c r="F922" s="210"/>
      <c r="G922" s="227"/>
      <c r="H922" s="259"/>
      <c r="I922" s="146"/>
      <c r="J922" s="42"/>
      <c r="N922" s="146"/>
    </row>
    <row r="923" spans="1:14">
      <c r="A923" s="197"/>
      <c r="C923" s="331"/>
      <c r="E923" s="227"/>
      <c r="F923" s="210"/>
      <c r="G923" s="227"/>
      <c r="H923" s="259"/>
      <c r="I923" s="146"/>
      <c r="J923" s="42"/>
      <c r="N923" s="146"/>
    </row>
    <row r="924" spans="1:14">
      <c r="A924" s="197"/>
      <c r="C924" s="331"/>
      <c r="E924" s="227"/>
      <c r="F924" s="210"/>
      <c r="G924" s="227"/>
      <c r="H924" s="259"/>
      <c r="I924" s="146"/>
      <c r="J924" s="42"/>
      <c r="N924" s="146"/>
    </row>
    <row r="925" spans="1:14">
      <c r="A925" s="197"/>
      <c r="C925" s="331"/>
      <c r="E925" s="227"/>
      <c r="F925" s="210"/>
      <c r="G925" s="227"/>
      <c r="H925" s="259"/>
      <c r="I925" s="146"/>
      <c r="J925" s="42"/>
      <c r="N925" s="146"/>
    </row>
    <row r="926" spans="1:14">
      <c r="A926" s="197"/>
      <c r="C926" s="331"/>
      <c r="E926" s="227"/>
      <c r="F926" s="210"/>
      <c r="G926" s="227"/>
      <c r="H926" s="259"/>
      <c r="I926" s="146"/>
      <c r="J926" s="42"/>
      <c r="N926" s="146"/>
    </row>
    <row r="927" spans="1:14">
      <c r="A927" s="197"/>
      <c r="C927" s="331"/>
      <c r="E927" s="227"/>
      <c r="F927" s="210"/>
      <c r="G927" s="227"/>
      <c r="H927" s="259"/>
      <c r="I927" s="146"/>
      <c r="J927" s="42"/>
      <c r="N927" s="146"/>
    </row>
    <row r="928" spans="1:14">
      <c r="A928" s="197"/>
      <c r="C928" s="331"/>
      <c r="E928" s="227"/>
      <c r="F928" s="210"/>
      <c r="G928" s="227"/>
      <c r="H928" s="259"/>
      <c r="I928" s="146"/>
      <c r="J928" s="42"/>
      <c r="N928" s="146"/>
    </row>
    <row r="929" spans="1:14">
      <c r="A929" s="197"/>
      <c r="C929" s="331"/>
      <c r="E929" s="227"/>
      <c r="F929" s="210"/>
      <c r="G929" s="227"/>
      <c r="H929" s="259"/>
      <c r="I929" s="146"/>
      <c r="J929" s="42"/>
      <c r="N929" s="146"/>
    </row>
    <row r="930" spans="1:14">
      <c r="A930" s="197"/>
      <c r="C930" s="331"/>
      <c r="E930" s="227"/>
      <c r="F930" s="210"/>
      <c r="G930" s="227"/>
      <c r="H930" s="259"/>
      <c r="I930" s="146"/>
      <c r="J930" s="42"/>
      <c r="N930" s="146"/>
    </row>
    <row r="931" spans="1:14">
      <c r="A931" s="197"/>
      <c r="C931" s="331"/>
      <c r="E931" s="227"/>
      <c r="F931" s="210"/>
      <c r="G931" s="227"/>
      <c r="H931" s="259"/>
      <c r="I931" s="146"/>
      <c r="J931" s="42"/>
      <c r="N931" s="146"/>
    </row>
    <row r="932" spans="1:14">
      <c r="A932" s="197"/>
      <c r="C932" s="331"/>
      <c r="E932" s="227"/>
      <c r="F932" s="210"/>
      <c r="G932" s="227"/>
      <c r="H932" s="259"/>
      <c r="I932" s="146"/>
      <c r="J932" s="42"/>
      <c r="N932" s="146"/>
    </row>
    <row r="933" spans="1:14">
      <c r="A933" s="197"/>
      <c r="C933" s="331"/>
      <c r="E933" s="227"/>
      <c r="F933" s="210"/>
      <c r="G933" s="227"/>
      <c r="H933" s="259"/>
      <c r="I933" s="146"/>
      <c r="J933" s="42"/>
      <c r="N933" s="146"/>
    </row>
    <row r="934" spans="1:14">
      <c r="A934" s="197"/>
      <c r="C934" s="331"/>
      <c r="E934" s="227"/>
      <c r="F934" s="210"/>
      <c r="G934" s="227"/>
      <c r="H934" s="259"/>
      <c r="I934" s="146"/>
      <c r="J934" s="42"/>
      <c r="N934" s="146"/>
    </row>
    <row r="935" spans="1:14">
      <c r="A935" s="197"/>
      <c r="C935" s="331"/>
      <c r="E935" s="227"/>
      <c r="F935" s="210"/>
      <c r="G935" s="227"/>
      <c r="H935" s="259"/>
      <c r="I935" s="146"/>
      <c r="J935" s="42"/>
      <c r="N935" s="146"/>
    </row>
    <row r="936" spans="1:14">
      <c r="A936" s="197"/>
      <c r="C936" s="331"/>
      <c r="E936" s="227"/>
      <c r="F936" s="210"/>
      <c r="G936" s="227"/>
      <c r="H936" s="259"/>
      <c r="I936" s="146"/>
      <c r="J936" s="42"/>
      <c r="N936" s="146"/>
    </row>
    <row r="937" spans="1:14">
      <c r="A937" s="197"/>
      <c r="C937" s="331"/>
      <c r="E937" s="227"/>
      <c r="F937" s="210"/>
      <c r="G937" s="227"/>
      <c r="H937" s="259"/>
      <c r="I937" s="146"/>
      <c r="J937" s="42"/>
      <c r="N937" s="146"/>
    </row>
    <row r="938" spans="1:14">
      <c r="A938" s="197"/>
      <c r="C938" s="331"/>
      <c r="E938" s="227"/>
      <c r="F938" s="210"/>
      <c r="G938" s="227"/>
      <c r="H938" s="259"/>
      <c r="I938" s="146"/>
      <c r="J938" s="42"/>
      <c r="N938" s="146"/>
    </row>
    <row r="939" spans="1:14">
      <c r="A939" s="197"/>
      <c r="C939" s="331"/>
      <c r="E939" s="227"/>
      <c r="F939" s="210"/>
      <c r="G939" s="227"/>
      <c r="H939" s="259"/>
      <c r="I939" s="146"/>
      <c r="J939" s="42"/>
      <c r="N939" s="146"/>
    </row>
    <row r="940" spans="1:14">
      <c r="A940" s="197"/>
      <c r="C940" s="331"/>
      <c r="E940" s="227"/>
      <c r="F940" s="210"/>
      <c r="G940" s="227"/>
      <c r="H940" s="259"/>
      <c r="I940" s="146"/>
      <c r="J940" s="42"/>
      <c r="N940" s="146"/>
    </row>
    <row r="941" spans="1:14">
      <c r="A941" s="197"/>
      <c r="C941" s="331"/>
      <c r="E941" s="227"/>
      <c r="F941" s="210"/>
      <c r="G941" s="227"/>
      <c r="H941" s="259"/>
      <c r="I941" s="146"/>
      <c r="J941" s="42"/>
      <c r="N941" s="146"/>
    </row>
    <row r="942" spans="1:14">
      <c r="A942" s="197"/>
      <c r="C942" s="331"/>
      <c r="E942" s="227"/>
      <c r="F942" s="210"/>
      <c r="G942" s="227"/>
      <c r="H942" s="259"/>
      <c r="I942" s="146"/>
      <c r="J942" s="42"/>
      <c r="N942" s="146"/>
    </row>
    <row r="943" spans="1:14">
      <c r="A943" s="197"/>
      <c r="C943" s="331"/>
      <c r="E943" s="227"/>
      <c r="F943" s="210"/>
      <c r="G943" s="227"/>
      <c r="H943" s="259"/>
      <c r="I943" s="146"/>
      <c r="J943" s="42"/>
      <c r="N943" s="146"/>
    </row>
    <row r="944" spans="1:14">
      <c r="A944" s="197"/>
      <c r="C944" s="331"/>
      <c r="E944" s="227"/>
      <c r="F944" s="210"/>
      <c r="G944" s="227"/>
      <c r="H944" s="259"/>
      <c r="I944" s="146"/>
      <c r="J944" s="42"/>
      <c r="N944" s="146"/>
    </row>
    <row r="945" spans="1:14">
      <c r="A945" s="197"/>
      <c r="C945" s="331"/>
      <c r="E945" s="227"/>
      <c r="F945" s="210"/>
      <c r="G945" s="227"/>
      <c r="H945" s="259"/>
      <c r="I945" s="146"/>
      <c r="J945" s="42"/>
      <c r="N945" s="146"/>
    </row>
    <row r="946" spans="1:14">
      <c r="A946" s="197"/>
      <c r="C946" s="331"/>
      <c r="E946" s="227"/>
      <c r="F946" s="210"/>
      <c r="G946" s="227"/>
      <c r="H946" s="259"/>
      <c r="I946" s="146"/>
      <c r="J946" s="42"/>
      <c r="N946" s="146"/>
    </row>
    <row r="947" spans="1:14">
      <c r="A947" s="197"/>
      <c r="C947" s="331"/>
      <c r="E947" s="227"/>
      <c r="F947" s="210"/>
      <c r="G947" s="227"/>
      <c r="H947" s="259"/>
      <c r="I947" s="146"/>
      <c r="J947" s="42"/>
      <c r="N947" s="146"/>
    </row>
    <row r="948" spans="1:14">
      <c r="A948" s="197"/>
      <c r="C948" s="331"/>
      <c r="E948" s="227"/>
      <c r="F948" s="210"/>
      <c r="G948" s="227"/>
      <c r="H948" s="259"/>
      <c r="I948" s="146"/>
      <c r="J948" s="42"/>
      <c r="N948" s="146"/>
    </row>
    <row r="949" spans="1:14">
      <c r="A949" s="197"/>
      <c r="C949" s="331"/>
      <c r="E949" s="227"/>
      <c r="F949" s="210"/>
      <c r="G949" s="227"/>
      <c r="H949" s="259"/>
      <c r="I949" s="146"/>
      <c r="J949" s="42"/>
      <c r="N949" s="146"/>
    </row>
    <row r="950" spans="1:14">
      <c r="A950" s="197"/>
      <c r="C950" s="331"/>
      <c r="E950" s="227"/>
      <c r="F950" s="210"/>
      <c r="G950" s="227"/>
      <c r="H950" s="259"/>
      <c r="I950" s="146"/>
      <c r="J950" s="42"/>
      <c r="N950" s="146"/>
    </row>
    <row r="951" spans="1:14">
      <c r="A951" s="197"/>
      <c r="C951" s="331"/>
      <c r="E951" s="227"/>
      <c r="F951" s="210"/>
      <c r="G951" s="227"/>
      <c r="H951" s="259"/>
      <c r="I951" s="146"/>
      <c r="J951" s="42"/>
      <c r="N951" s="146"/>
    </row>
    <row r="952" spans="1:14">
      <c r="A952" s="197"/>
      <c r="C952" s="331"/>
      <c r="E952" s="227"/>
      <c r="F952" s="210"/>
      <c r="G952" s="227"/>
      <c r="H952" s="259"/>
      <c r="I952" s="146"/>
      <c r="J952" s="42"/>
      <c r="N952" s="146"/>
    </row>
    <row r="953" spans="1:14">
      <c r="A953" s="197"/>
      <c r="C953" s="331"/>
      <c r="E953" s="227"/>
      <c r="F953" s="210"/>
      <c r="G953" s="227"/>
      <c r="H953" s="259"/>
      <c r="I953" s="146"/>
      <c r="J953" s="42"/>
      <c r="N953" s="146"/>
    </row>
    <row r="954" spans="1:14">
      <c r="A954" s="197"/>
      <c r="C954" s="331"/>
      <c r="E954" s="227"/>
      <c r="F954" s="210"/>
      <c r="G954" s="227"/>
      <c r="H954" s="259"/>
      <c r="I954" s="146"/>
      <c r="J954" s="42"/>
      <c r="N954" s="146"/>
    </row>
    <row r="955" spans="1:14">
      <c r="A955" s="197"/>
      <c r="C955" s="331"/>
      <c r="E955" s="227"/>
      <c r="F955" s="210"/>
      <c r="G955" s="227"/>
      <c r="H955" s="259"/>
      <c r="I955" s="146"/>
      <c r="J955" s="42"/>
      <c r="N955" s="146"/>
    </row>
    <row r="956" spans="1:14">
      <c r="A956" s="197"/>
      <c r="C956" s="331"/>
      <c r="E956" s="227"/>
      <c r="F956" s="210"/>
      <c r="G956" s="227"/>
      <c r="H956" s="259"/>
      <c r="I956" s="146"/>
      <c r="J956" s="42"/>
      <c r="N956" s="146"/>
    </row>
    <row r="957" spans="1:14">
      <c r="A957" s="197"/>
      <c r="C957" s="331"/>
      <c r="E957" s="227"/>
      <c r="F957" s="210"/>
      <c r="G957" s="227"/>
      <c r="H957" s="259"/>
      <c r="I957" s="146"/>
      <c r="J957" s="42"/>
      <c r="N957" s="146"/>
    </row>
    <row r="958" spans="1:14">
      <c r="A958" s="197"/>
      <c r="C958" s="331"/>
      <c r="E958" s="227"/>
      <c r="F958" s="210"/>
      <c r="G958" s="227"/>
      <c r="H958" s="259"/>
      <c r="I958" s="146"/>
      <c r="J958" s="42"/>
      <c r="N958" s="146"/>
    </row>
    <row r="959" spans="1:14">
      <c r="A959" s="197"/>
      <c r="C959" s="331"/>
      <c r="E959" s="227"/>
      <c r="F959" s="210"/>
      <c r="G959" s="227"/>
      <c r="H959" s="259"/>
      <c r="I959" s="146"/>
      <c r="J959" s="42"/>
      <c r="N959" s="146"/>
    </row>
    <row r="960" spans="1:14">
      <c r="A960" s="197"/>
      <c r="C960" s="331"/>
      <c r="E960" s="227"/>
      <c r="F960" s="210"/>
      <c r="G960" s="227"/>
      <c r="H960" s="259"/>
      <c r="I960" s="146"/>
      <c r="J960" s="42"/>
      <c r="N960" s="146"/>
    </row>
    <row r="961" spans="1:14">
      <c r="A961" s="197"/>
      <c r="C961" s="331"/>
      <c r="E961" s="227"/>
      <c r="F961" s="210"/>
      <c r="G961" s="227"/>
      <c r="H961" s="259"/>
      <c r="I961" s="146"/>
      <c r="J961" s="42"/>
      <c r="N961" s="146"/>
    </row>
    <row r="962" spans="1:14">
      <c r="A962" s="197"/>
      <c r="C962" s="331"/>
      <c r="E962" s="227"/>
      <c r="F962" s="210"/>
      <c r="G962" s="227"/>
      <c r="H962" s="259"/>
      <c r="I962" s="146"/>
      <c r="J962" s="42"/>
      <c r="N962" s="146"/>
    </row>
    <row r="963" spans="1:14">
      <c r="A963" s="197"/>
      <c r="C963" s="331"/>
      <c r="E963" s="227"/>
      <c r="F963" s="210"/>
      <c r="G963" s="227"/>
      <c r="H963" s="259"/>
      <c r="I963" s="146"/>
      <c r="J963" s="42"/>
      <c r="N963" s="146"/>
    </row>
    <row r="964" spans="1:14">
      <c r="A964" s="197"/>
      <c r="C964" s="331"/>
      <c r="E964" s="227"/>
      <c r="F964" s="210"/>
      <c r="G964" s="227"/>
      <c r="H964" s="259"/>
      <c r="I964" s="146"/>
      <c r="J964" s="42"/>
      <c r="N964" s="146"/>
    </row>
    <row r="965" spans="1:14">
      <c r="A965" s="197"/>
      <c r="C965" s="331"/>
      <c r="E965" s="227"/>
      <c r="F965" s="210"/>
      <c r="G965" s="227"/>
      <c r="H965" s="259"/>
      <c r="I965" s="146"/>
      <c r="J965" s="42"/>
      <c r="N965" s="146"/>
    </row>
    <row r="966" spans="1:14">
      <c r="A966" s="197"/>
      <c r="C966" s="331"/>
      <c r="E966" s="227"/>
      <c r="F966" s="210"/>
      <c r="G966" s="227"/>
      <c r="H966" s="259"/>
      <c r="I966" s="146"/>
      <c r="J966" s="42"/>
      <c r="N966" s="146"/>
    </row>
    <row r="967" spans="1:14">
      <c r="A967" s="197"/>
      <c r="C967" s="331"/>
      <c r="E967" s="227"/>
      <c r="F967" s="210"/>
      <c r="G967" s="227"/>
      <c r="H967" s="259"/>
      <c r="I967" s="146"/>
      <c r="J967" s="42"/>
      <c r="N967" s="146"/>
    </row>
    <row r="968" spans="1:14">
      <c r="A968" s="197"/>
      <c r="C968" s="331"/>
      <c r="E968" s="227"/>
      <c r="F968" s="210"/>
      <c r="G968" s="227"/>
      <c r="H968" s="259"/>
      <c r="I968" s="146"/>
      <c r="J968" s="42"/>
      <c r="N968" s="146"/>
    </row>
    <row r="969" spans="1:14">
      <c r="A969" s="197"/>
      <c r="C969" s="331"/>
      <c r="E969" s="227"/>
      <c r="F969" s="210"/>
      <c r="G969" s="227"/>
      <c r="H969" s="259"/>
      <c r="I969" s="146"/>
      <c r="J969" s="42"/>
      <c r="N969" s="146"/>
    </row>
    <row r="970" spans="1:14">
      <c r="A970" s="197"/>
      <c r="C970" s="331"/>
      <c r="E970" s="227"/>
      <c r="F970" s="210"/>
      <c r="G970" s="227"/>
      <c r="H970" s="259"/>
      <c r="I970" s="146"/>
      <c r="J970" s="42"/>
      <c r="N970" s="146"/>
    </row>
    <row r="971" spans="1:14">
      <c r="A971" s="197"/>
      <c r="C971" s="331"/>
      <c r="E971" s="227"/>
      <c r="F971" s="210"/>
      <c r="G971" s="227"/>
      <c r="H971" s="259"/>
      <c r="I971" s="146"/>
      <c r="J971" s="42"/>
      <c r="N971" s="146"/>
    </row>
    <row r="972" spans="1:14">
      <c r="A972" s="197"/>
      <c r="E972" s="227"/>
      <c r="F972" s="210"/>
      <c r="G972" s="227"/>
      <c r="H972" s="259"/>
      <c r="I972" s="146"/>
      <c r="J972" s="42"/>
      <c r="N972" s="146"/>
    </row>
    <row r="973" spans="1:14">
      <c r="A973" s="197"/>
      <c r="E973" s="227"/>
      <c r="F973" s="210"/>
      <c r="G973" s="227"/>
      <c r="H973" s="259"/>
      <c r="I973" s="146"/>
      <c r="N973" s="146"/>
    </row>
  </sheetData>
  <mergeCells count="42">
    <mergeCell ref="A1:B1"/>
    <mergeCell ref="M1:N1"/>
    <mergeCell ref="A2:B2"/>
    <mergeCell ref="A3:B3"/>
    <mergeCell ref="A4:B4"/>
    <mergeCell ref="A5:B5"/>
    <mergeCell ref="C5:H5"/>
    <mergeCell ref="C24:C26"/>
    <mergeCell ref="C18:C23"/>
    <mergeCell ref="C8:C12"/>
    <mergeCell ref="C13:C17"/>
    <mergeCell ref="B8:B26"/>
    <mergeCell ref="B66:B68"/>
    <mergeCell ref="B49:B64"/>
    <mergeCell ref="C251:C253"/>
    <mergeCell ref="C259:C272"/>
    <mergeCell ref="F261:F268"/>
    <mergeCell ref="F271:F274"/>
    <mergeCell ref="B261:B290"/>
    <mergeCell ref="C279:C288"/>
    <mergeCell ref="F281:F286"/>
    <mergeCell ref="F287:F290"/>
    <mergeCell ref="C274:C277"/>
    <mergeCell ref="F276:F277"/>
    <mergeCell ref="F278:F279"/>
    <mergeCell ref="D90:D91"/>
    <mergeCell ref="D93:D99"/>
    <mergeCell ref="D101:D109"/>
    <mergeCell ref="N146:N153"/>
    <mergeCell ref="L208:L210"/>
    <mergeCell ref="M209:M211"/>
    <mergeCell ref="C216:C222"/>
    <mergeCell ref="F218:F220"/>
    <mergeCell ref="D158:D166"/>
    <mergeCell ref="D146:D156"/>
    <mergeCell ref="D113:D114"/>
    <mergeCell ref="L243:L244"/>
    <mergeCell ref="C246:C247"/>
    <mergeCell ref="L247:L248"/>
    <mergeCell ref="C248:C249"/>
    <mergeCell ref="C223:C224"/>
    <mergeCell ref="C226:C230"/>
  </mergeCells>
  <conditionalFormatting sqref="J8:J69 L20:L23 M24:M63">
    <cfRule type="cellIs" dxfId="7" priority="1" operator="equal">
      <formula>"Passed"</formula>
    </cfRule>
    <cfRule type="cellIs" dxfId="6" priority="2" operator="equal">
      <formula>"Failed"</formula>
    </cfRule>
    <cfRule type="cellIs" dxfId="5" priority="3" operator="equal">
      <formula>"Not Executed"</formula>
    </cfRule>
    <cfRule type="cellIs" dxfId="4" priority="4" operator="equal">
      <formula>"Out of Scope"</formula>
    </cfRule>
  </conditionalFormatting>
  <conditionalFormatting sqref="M66:M77 M79:M82 M84:M88 M90:M91 M93:M99 M101:M358 L191:L196 L198:L199 L236 L250:L259">
    <cfRule type="cellIs" dxfId="3" priority="9" operator="equal">
      <formula>"Passed"</formula>
    </cfRule>
    <cfRule type="cellIs" dxfId="2" priority="10" operator="equal">
      <formula>"Failed"</formula>
    </cfRule>
    <cfRule type="cellIs" dxfId="1" priority="11" operator="equal">
      <formula>"Not Executed"</formula>
    </cfRule>
    <cfRule type="cellIs" dxfId="0" priority="12" operator="equal">
      <formula>"Out of Scope"</formula>
    </cfRule>
  </conditionalFormatting>
  <dataValidations count="1">
    <dataValidation type="list" allowBlank="1" sqref="M66:M77 M79:M82 M84:M88 M90:M91 M93:M99 M208:M209 M212 M215:M226 M243:M244 M246 M303:M306 M326:M358 L250:L259 M248:M290 L236 M228:M240 L198:L199 L191:L196 M101:M205 L20:L23 M24:M63 J8:J69" xr:uid="{00000000-0002-0000-0300-000000000000}">
      <formula1>"Passed,Failed,Not Executed,Out of Scope"</formula1>
    </dataValidation>
  </dataValidations>
  <hyperlinks>
    <hyperlink ref="C1" r:id="rId1" display="    Startech" xr:uid="{00000000-0004-0000-0300-000000000000}"/>
    <hyperlink ref="H50" r:id="rId2" xr:uid="{51577688-FBEC-4959-9418-13A26E40D27D}"/>
    <hyperlink ref="H51" r:id="rId3" xr:uid="{D1325B17-507D-4AEA-A1CF-F536D03C64A0}"/>
    <hyperlink ref="H53" r:id="rId4" display="tahminaislam011@gmail.com" xr:uid="{7165045D-03E5-4201-AC76-63D6D3A04D47}"/>
    <hyperlink ref="H54" r:id="rId5" display="tahminaislam011@gmail.com" xr:uid="{569D96A3-7F76-42AF-98B2-FBCED277856B}"/>
    <hyperlink ref="H55" r:id="rId6" xr:uid="{800F6B0B-AE6B-4CDC-B0DB-B355078838DD}"/>
    <hyperlink ref="H62" r:id="rId7" xr:uid="{3E11D92F-61DA-460D-8444-8DCE845A8BDD}"/>
    <hyperlink ref="I61" r:id="rId8" xr:uid="{28BD6CC7-9DD8-4CE2-A688-8CF5BBDC1C93}"/>
    <hyperlink ref="I62" r:id="rId9" xr:uid="{BF832721-5AE2-4878-B0C2-03618F47BC82}"/>
    <hyperlink ref="I59" r:id="rId10" xr:uid="{CFB12BB6-9159-44B8-B6E3-100BCFBE3010}"/>
    <hyperlink ref="H52" r:id="rId11" display="tahminaislam011@gmail.com" xr:uid="{20762E2E-6CC3-4399-9DA6-9115A3942BA0}"/>
    <hyperlink ref="I11" r:id="rId12" xr:uid="{82D6269C-C628-43DB-8965-1D8D88BEE314}"/>
    <hyperlink ref="H27" r:id="rId13" xr:uid="{85AA6647-9103-4C99-A945-3EEFF095D4A9}"/>
    <hyperlink ref="H29" r:id="rId14" xr:uid="{98065CFD-386D-46CF-87FF-E57308631A6C}"/>
    <hyperlink ref="H30" r:id="rId15" xr:uid="{B813C289-88F3-480E-BC0A-9BE3BB8FD595}"/>
  </hyperlinks>
  <pageMargins left="0.7" right="0.7" top="0.75" bottom="0.75" header="0" footer="0"/>
  <pageSetup orientation="portrait"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C5" zoomScale="85" zoomScaleNormal="85" workbookViewId="0">
      <selection activeCell="C5" sqref="C5:G5"/>
    </sheetView>
  </sheetViews>
  <sheetFormatPr defaultColWidth="14.42578125" defaultRowHeight="15" customHeight="1"/>
  <cols>
    <col min="1" max="1" width="14.140625" customWidth="1"/>
    <col min="2" max="2" width="29.140625" customWidth="1"/>
    <col min="3" max="3" width="39.85546875" customWidth="1"/>
    <col min="4" max="11" width="14.140625" customWidth="1"/>
    <col min="12" max="12" width="40.85546875" customWidth="1"/>
    <col min="13" max="13" width="28.140625" customWidth="1"/>
    <col min="14" max="14" width="24.140625" customWidth="1"/>
    <col min="15" max="15" width="30.85546875" customWidth="1"/>
    <col min="16" max="16" width="25" customWidth="1"/>
    <col min="17" max="18" width="14.140625" customWidth="1"/>
    <col min="19" max="26" width="12.85546875" customWidth="1"/>
  </cols>
  <sheetData>
    <row r="1" spans="1:26" ht="15.75" customHeight="1"/>
    <row r="2" spans="1:26" ht="15.75" customHeight="1"/>
    <row r="3" spans="1:26" ht="8.25" customHeight="1"/>
    <row r="4" spans="1:26" ht="25.5" customHeight="1">
      <c r="B4" s="492" t="s">
        <v>53</v>
      </c>
      <c r="C4" s="485"/>
      <c r="D4" s="485"/>
      <c r="E4" s="485"/>
      <c r="F4" s="485"/>
      <c r="G4" s="486"/>
      <c r="J4" s="97" t="s">
        <v>54</v>
      </c>
      <c r="K4" s="98"/>
    </row>
    <row r="5" spans="1:26" ht="15.75" customHeight="1">
      <c r="B5" s="99" t="s">
        <v>55</v>
      </c>
      <c r="C5" s="478" t="s">
        <v>151</v>
      </c>
      <c r="D5" s="479"/>
      <c r="E5" s="479"/>
      <c r="F5" s="479"/>
      <c r="G5" s="480"/>
    </row>
    <row r="6" spans="1:26" ht="15.75" customHeight="1">
      <c r="B6" s="100" t="s">
        <v>56</v>
      </c>
      <c r="C6" s="478" t="s">
        <v>57</v>
      </c>
      <c r="D6" s="479"/>
      <c r="E6" s="479"/>
      <c r="F6" s="479"/>
      <c r="G6" s="480"/>
      <c r="I6" s="101" t="s">
        <v>58</v>
      </c>
      <c r="J6" s="101" t="s">
        <v>59</v>
      </c>
    </row>
    <row r="7" spans="1:26" ht="15.75" customHeight="1">
      <c r="A7" s="102"/>
      <c r="B7" s="100" t="s">
        <v>60</v>
      </c>
      <c r="C7" s="103" t="s">
        <v>61</v>
      </c>
      <c r="D7" s="104"/>
      <c r="E7" s="104"/>
      <c r="F7" s="104"/>
      <c r="G7" s="105"/>
      <c r="I7" s="101"/>
      <c r="J7" s="101"/>
      <c r="L7" s="106"/>
    </row>
    <row r="8" spans="1:26" ht="15.75" customHeight="1">
      <c r="B8" s="99" t="s">
        <v>62</v>
      </c>
      <c r="C8" s="478">
        <v>1</v>
      </c>
      <c r="D8" s="479"/>
      <c r="E8" s="479"/>
      <c r="F8" s="479"/>
      <c r="G8" s="480"/>
      <c r="I8" s="107">
        <v>50</v>
      </c>
      <c r="J8" s="107" t="s">
        <v>23</v>
      </c>
      <c r="K8" s="108"/>
      <c r="L8" s="109"/>
    </row>
    <row r="9" spans="1:26" ht="15.75" customHeight="1">
      <c r="B9" s="99" t="s">
        <v>63</v>
      </c>
      <c r="C9" s="478" t="s">
        <v>149</v>
      </c>
      <c r="D9" s="479"/>
      <c r="E9" s="479"/>
      <c r="F9" s="479"/>
      <c r="G9" s="480"/>
      <c r="I9" s="107">
        <v>4</v>
      </c>
      <c r="J9" s="107" t="s">
        <v>28</v>
      </c>
      <c r="K9" s="108"/>
      <c r="L9" s="110"/>
    </row>
    <row r="10" spans="1:26" ht="15.75" customHeight="1">
      <c r="B10" s="99" t="s">
        <v>64</v>
      </c>
      <c r="C10" s="478" t="s">
        <v>149</v>
      </c>
      <c r="D10" s="479"/>
      <c r="E10" s="479"/>
      <c r="F10" s="479"/>
      <c r="G10" s="480"/>
      <c r="I10" s="107">
        <f>E16</f>
        <v>1</v>
      </c>
      <c r="J10" s="107" t="s">
        <v>65</v>
      </c>
      <c r="L10" s="111" t="s">
        <v>66</v>
      </c>
      <c r="M10" s="112" t="s">
        <v>67</v>
      </c>
      <c r="N10" s="112" t="s">
        <v>68</v>
      </c>
      <c r="O10" s="109"/>
      <c r="P10" s="112"/>
    </row>
    <row r="11" spans="1:26" ht="15.75" customHeight="1">
      <c r="B11" s="99" t="s">
        <v>69</v>
      </c>
      <c r="C11" s="478" t="s">
        <v>131</v>
      </c>
      <c r="D11" s="479"/>
      <c r="E11" s="479"/>
      <c r="F11" s="479"/>
      <c r="G11" s="480"/>
      <c r="I11" s="107">
        <f>F16</f>
        <v>0</v>
      </c>
      <c r="J11" s="107" t="s">
        <v>70</v>
      </c>
      <c r="L11" s="109"/>
      <c r="M11" s="109"/>
      <c r="N11" s="109"/>
      <c r="O11" s="109"/>
      <c r="P11" s="109"/>
    </row>
    <row r="12" spans="1:26" ht="15.75" customHeight="1">
      <c r="B12" s="481" t="s">
        <v>71</v>
      </c>
      <c r="C12" s="482"/>
      <c r="D12" s="482"/>
      <c r="E12" s="482"/>
      <c r="F12" s="482"/>
      <c r="G12" s="483"/>
    </row>
    <row r="13" spans="1:26" ht="15.75" customHeight="1">
      <c r="B13" s="475"/>
      <c r="C13" s="476"/>
      <c r="D13" s="476"/>
      <c r="E13" s="476"/>
      <c r="F13" s="476"/>
      <c r="G13" s="477"/>
    </row>
    <row r="14" spans="1:26" ht="15.75" customHeight="1">
      <c r="B14" s="113" t="s">
        <v>72</v>
      </c>
      <c r="C14" s="114" t="s">
        <v>23</v>
      </c>
      <c r="D14" s="114" t="s">
        <v>28</v>
      </c>
      <c r="E14" s="114" t="s">
        <v>65</v>
      </c>
      <c r="F14" s="114" t="s">
        <v>73</v>
      </c>
      <c r="G14" s="115" t="s">
        <v>74</v>
      </c>
      <c r="L14" s="116"/>
      <c r="M14" s="116"/>
      <c r="N14" s="116"/>
      <c r="O14" s="116"/>
      <c r="P14" s="116"/>
      <c r="Q14" s="116"/>
      <c r="R14" s="116"/>
    </row>
    <row r="15" spans="1:26" ht="48" customHeight="1">
      <c r="A15" s="117"/>
      <c r="B15" s="118">
        <v>56</v>
      </c>
      <c r="C15" s="119">
        <v>50</v>
      </c>
      <c r="D15" s="120">
        <v>4</v>
      </c>
      <c r="E15" s="121">
        <v>1</v>
      </c>
      <c r="F15" s="122">
        <f>TestCase!N5</f>
        <v>0</v>
      </c>
      <c r="G15" s="123">
        <f>TestCase!N6</f>
        <v>0</v>
      </c>
      <c r="H15" s="117"/>
      <c r="I15" s="117"/>
      <c r="J15" s="117"/>
      <c r="K15" s="117"/>
      <c r="L15" s="124"/>
      <c r="M15" s="117"/>
      <c r="N15" s="117"/>
      <c r="O15" s="117"/>
      <c r="P15" s="117"/>
      <c r="Q15" s="117"/>
      <c r="R15" s="117"/>
      <c r="S15" s="117"/>
      <c r="T15" s="117"/>
      <c r="U15" s="117"/>
      <c r="V15" s="117"/>
      <c r="W15" s="117"/>
      <c r="X15" s="117"/>
      <c r="Y15" s="117"/>
      <c r="Z15" s="117"/>
    </row>
    <row r="16" spans="1:26" ht="12.75" customHeight="1">
      <c r="B16" s="125" t="s">
        <v>75</v>
      </c>
      <c r="C16" s="126">
        <f t="shared" ref="C16:G16" si="0">SUM(C15)</f>
        <v>50</v>
      </c>
      <c r="D16" s="127">
        <f t="shared" si="0"/>
        <v>4</v>
      </c>
      <c r="E16" s="126">
        <f t="shared" si="0"/>
        <v>1</v>
      </c>
      <c r="F16" s="126">
        <f t="shared" si="0"/>
        <v>0</v>
      </c>
      <c r="G16" s="128">
        <f t="shared" si="0"/>
        <v>0</v>
      </c>
      <c r="L16" s="98"/>
      <c r="M16" s="129"/>
      <c r="N16" s="129"/>
      <c r="O16" s="129"/>
      <c r="P16" s="129"/>
      <c r="Q16" s="129"/>
      <c r="R16" s="129"/>
    </row>
    <row r="17" spans="2:18" ht="15.75" customHeight="1">
      <c r="B17" s="130"/>
      <c r="C17" s="130"/>
      <c r="D17" s="130"/>
      <c r="E17" s="130"/>
      <c r="F17" s="130"/>
      <c r="G17" s="130"/>
      <c r="L17" s="98"/>
      <c r="M17" s="129"/>
      <c r="N17" s="129"/>
      <c r="O17" s="129"/>
      <c r="P17" s="129"/>
      <c r="Q17" s="129"/>
      <c r="R17" s="129"/>
    </row>
    <row r="18" spans="2:18" ht="15.75" customHeight="1">
      <c r="B18" s="130"/>
      <c r="C18" s="130"/>
      <c r="D18" s="130"/>
      <c r="E18" s="130"/>
      <c r="F18" s="130"/>
      <c r="G18" s="130"/>
      <c r="L18" s="116"/>
      <c r="M18" s="116"/>
      <c r="N18" s="116"/>
      <c r="O18" s="116"/>
      <c r="P18" s="116"/>
      <c r="Q18" s="116"/>
      <c r="R18" s="116"/>
    </row>
    <row r="19" spans="2:18" ht="15.75" customHeight="1">
      <c r="B19" s="484" t="s">
        <v>76</v>
      </c>
      <c r="C19" s="485"/>
      <c r="D19" s="485"/>
      <c r="E19" s="485"/>
      <c r="F19" s="485"/>
      <c r="G19" s="486"/>
    </row>
    <row r="20" spans="2:18" ht="15.75" customHeight="1">
      <c r="B20" s="487" t="s">
        <v>77</v>
      </c>
      <c r="C20" s="485"/>
      <c r="D20" s="486"/>
      <c r="E20" s="131"/>
      <c r="F20" s="131" t="s">
        <v>78</v>
      </c>
      <c r="G20" s="131" t="s">
        <v>79</v>
      </c>
    </row>
    <row r="21" spans="2:18" ht="15.75" customHeight="1">
      <c r="B21" s="488" t="s">
        <v>80</v>
      </c>
      <c r="C21" s="485"/>
      <c r="D21" s="486"/>
      <c r="E21" s="132"/>
      <c r="F21" s="132" t="s">
        <v>81</v>
      </c>
      <c r="G21" s="132" t="s">
        <v>81</v>
      </c>
    </row>
    <row r="22" spans="2:18" ht="15.75" customHeight="1">
      <c r="B22" s="488" t="s">
        <v>82</v>
      </c>
      <c r="C22" s="485"/>
      <c r="D22" s="486"/>
      <c r="E22" s="132"/>
      <c r="F22" s="132" t="s">
        <v>81</v>
      </c>
      <c r="G22" s="132" t="s">
        <v>81</v>
      </c>
    </row>
    <row r="23" spans="2:18" ht="15.75" customHeight="1"/>
    <row r="24" spans="2:18" ht="15.75" customHeight="1">
      <c r="B24" s="491"/>
      <c r="C24" s="489" t="s">
        <v>83</v>
      </c>
      <c r="D24" s="490" t="s">
        <v>84</v>
      </c>
      <c r="E24" s="470"/>
      <c r="F24" s="470"/>
      <c r="G24" s="471"/>
    </row>
    <row r="25" spans="2:18" ht="15.75" customHeight="1">
      <c r="B25" s="465"/>
      <c r="C25" s="465"/>
      <c r="D25" s="472"/>
      <c r="E25" s="473"/>
      <c r="F25" s="473"/>
      <c r="G25" s="474"/>
    </row>
    <row r="26" spans="2:18" ht="15.75" customHeight="1">
      <c r="B26" s="465"/>
      <c r="C26" s="465"/>
      <c r="D26" s="472"/>
      <c r="E26" s="473"/>
      <c r="F26" s="473"/>
      <c r="G26" s="474"/>
    </row>
    <row r="27" spans="2:18" ht="15.75" customHeight="1">
      <c r="B27" s="466"/>
      <c r="C27" s="466"/>
      <c r="D27" s="475"/>
      <c r="E27" s="476"/>
      <c r="F27" s="476"/>
      <c r="G27" s="477"/>
    </row>
    <row r="28" spans="2:18" ht="15.75" customHeight="1">
      <c r="B28" s="467" t="s">
        <v>85</v>
      </c>
      <c r="C28" s="464" t="s">
        <v>86</v>
      </c>
      <c r="D28" s="469" t="s">
        <v>87</v>
      </c>
      <c r="E28" s="470"/>
      <c r="F28" s="470"/>
      <c r="G28" s="471"/>
    </row>
    <row r="29" spans="2:18" ht="15.75" customHeight="1">
      <c r="B29" s="465"/>
      <c r="C29" s="465"/>
      <c r="D29" s="472"/>
      <c r="E29" s="473"/>
      <c r="F29" s="473"/>
      <c r="G29" s="474"/>
    </row>
    <row r="30" spans="2:18" ht="15.75" customHeight="1">
      <c r="B30" s="465"/>
      <c r="C30" s="465"/>
      <c r="D30" s="472"/>
      <c r="E30" s="473"/>
      <c r="F30" s="473"/>
      <c r="G30" s="474"/>
    </row>
    <row r="31" spans="2:18" ht="15.75" customHeight="1">
      <c r="B31" s="466"/>
      <c r="C31" s="466"/>
      <c r="D31" s="475"/>
      <c r="E31" s="476"/>
      <c r="F31" s="476"/>
      <c r="G31" s="477"/>
    </row>
    <row r="32" spans="2:18" ht="15.75" customHeight="1">
      <c r="B32" s="467" t="s">
        <v>85</v>
      </c>
      <c r="C32" s="464" t="s">
        <v>88</v>
      </c>
      <c r="D32" s="469" t="s">
        <v>89</v>
      </c>
      <c r="E32" s="470"/>
      <c r="F32" s="470"/>
      <c r="G32" s="471"/>
    </row>
    <row r="33" spans="2:7" ht="15.75" customHeight="1">
      <c r="B33" s="465"/>
      <c r="C33" s="465"/>
      <c r="D33" s="472"/>
      <c r="E33" s="473"/>
      <c r="F33" s="473"/>
      <c r="G33" s="474"/>
    </row>
    <row r="34" spans="2:7" ht="15.75" customHeight="1">
      <c r="B34" s="465"/>
      <c r="C34" s="465"/>
      <c r="D34" s="472"/>
      <c r="E34" s="473"/>
      <c r="F34" s="473"/>
      <c r="G34" s="474"/>
    </row>
    <row r="35" spans="2:7" ht="15.75" customHeight="1">
      <c r="B35" s="466"/>
      <c r="C35" s="466"/>
      <c r="D35" s="475"/>
      <c r="E35" s="476"/>
      <c r="F35" s="476"/>
      <c r="G35" s="477"/>
    </row>
    <row r="36" spans="2:7" ht="15.75" customHeight="1">
      <c r="B36" s="467" t="s">
        <v>85</v>
      </c>
      <c r="C36" s="464" t="s">
        <v>90</v>
      </c>
      <c r="D36" s="469" t="s">
        <v>91</v>
      </c>
      <c r="E36" s="470"/>
      <c r="F36" s="470"/>
      <c r="G36" s="471"/>
    </row>
    <row r="37" spans="2:7" ht="15.75" customHeight="1">
      <c r="B37" s="465"/>
      <c r="C37" s="465"/>
      <c r="D37" s="472"/>
      <c r="E37" s="473"/>
      <c r="F37" s="473"/>
      <c r="G37" s="474"/>
    </row>
    <row r="38" spans="2:7" ht="15.75" customHeight="1">
      <c r="B38" s="465"/>
      <c r="C38" s="465"/>
      <c r="D38" s="472"/>
      <c r="E38" s="473"/>
      <c r="F38" s="473"/>
      <c r="G38" s="474"/>
    </row>
    <row r="39" spans="2:7" ht="15.75" customHeight="1">
      <c r="B39" s="466"/>
      <c r="C39" s="466"/>
      <c r="D39" s="475"/>
      <c r="E39" s="476"/>
      <c r="F39" s="476"/>
      <c r="G39" s="477"/>
    </row>
    <row r="40" spans="2:7" ht="15.75" customHeight="1">
      <c r="B40" s="467" t="s">
        <v>85</v>
      </c>
      <c r="C40" s="464" t="s">
        <v>92</v>
      </c>
      <c r="D40" s="469" t="s">
        <v>93</v>
      </c>
      <c r="E40" s="470"/>
      <c r="F40" s="470"/>
      <c r="G40" s="471"/>
    </row>
    <row r="41" spans="2:7" ht="15.75" customHeight="1">
      <c r="B41" s="465"/>
      <c r="C41" s="465"/>
      <c r="D41" s="472"/>
      <c r="E41" s="473"/>
      <c r="F41" s="473"/>
      <c r="G41" s="474"/>
    </row>
    <row r="42" spans="2:7" ht="15.75" customHeight="1">
      <c r="B42" s="465"/>
      <c r="C42" s="465"/>
      <c r="D42" s="472"/>
      <c r="E42" s="473"/>
      <c r="F42" s="473"/>
      <c r="G42" s="474"/>
    </row>
    <row r="43" spans="2:7" ht="15.75" customHeight="1">
      <c r="B43" s="466"/>
      <c r="C43" s="466"/>
      <c r="D43" s="475"/>
      <c r="E43" s="476"/>
      <c r="F43" s="476"/>
      <c r="G43" s="477"/>
    </row>
    <row r="44" spans="2:7" ht="15.75" customHeight="1">
      <c r="B44" s="467" t="s">
        <v>85</v>
      </c>
      <c r="C44" s="468" t="s">
        <v>94</v>
      </c>
      <c r="D44" s="469" t="s">
        <v>95</v>
      </c>
      <c r="E44" s="470"/>
      <c r="F44" s="470"/>
      <c r="G44" s="471"/>
    </row>
    <row r="45" spans="2:7" ht="15.75" customHeight="1">
      <c r="B45" s="465"/>
      <c r="C45" s="465"/>
      <c r="D45" s="472"/>
      <c r="E45" s="473"/>
      <c r="F45" s="473"/>
      <c r="G45" s="474"/>
    </row>
    <row r="46" spans="2:7" ht="15.75" customHeight="1">
      <c r="B46" s="465"/>
      <c r="C46" s="465"/>
      <c r="D46" s="472"/>
      <c r="E46" s="473"/>
      <c r="F46" s="473"/>
      <c r="G46" s="474"/>
    </row>
    <row r="47" spans="2:7" ht="15.75" customHeight="1">
      <c r="B47" s="466"/>
      <c r="C47" s="466"/>
      <c r="D47" s="475"/>
      <c r="E47" s="476"/>
      <c r="F47" s="476"/>
      <c r="G47" s="477"/>
    </row>
    <row r="48" spans="2:7" ht="15.75" customHeight="1">
      <c r="B48" s="467" t="s">
        <v>85</v>
      </c>
      <c r="C48" s="468" t="s">
        <v>96</v>
      </c>
      <c r="D48" s="469" t="s">
        <v>97</v>
      </c>
      <c r="E48" s="470"/>
      <c r="F48" s="470"/>
      <c r="G48" s="471"/>
    </row>
    <row r="49" spans="2:7" ht="15.75" customHeight="1">
      <c r="B49" s="465"/>
      <c r="C49" s="465"/>
      <c r="D49" s="472"/>
      <c r="E49" s="473"/>
      <c r="F49" s="473"/>
      <c r="G49" s="474"/>
    </row>
    <row r="50" spans="2:7" ht="15.75" customHeight="1">
      <c r="B50" s="465"/>
      <c r="C50" s="465"/>
      <c r="D50" s="472"/>
      <c r="E50" s="473"/>
      <c r="F50" s="473"/>
      <c r="G50" s="474"/>
    </row>
    <row r="51" spans="2:7" ht="33.75" customHeight="1">
      <c r="B51" s="466"/>
      <c r="C51" s="466"/>
      <c r="D51" s="475"/>
      <c r="E51" s="476"/>
      <c r="F51" s="476"/>
      <c r="G51" s="477"/>
    </row>
    <row r="52" spans="2:7" ht="15.75" customHeight="1">
      <c r="B52" s="467" t="s">
        <v>85</v>
      </c>
      <c r="C52" s="468" t="s">
        <v>98</v>
      </c>
      <c r="D52" s="469" t="s">
        <v>99</v>
      </c>
      <c r="E52" s="470"/>
      <c r="F52" s="470"/>
      <c r="G52" s="471"/>
    </row>
    <row r="53" spans="2:7" ht="15.75" customHeight="1">
      <c r="B53" s="465"/>
      <c r="C53" s="465"/>
      <c r="D53" s="472"/>
      <c r="E53" s="473"/>
      <c r="F53" s="473"/>
      <c r="G53" s="474"/>
    </row>
    <row r="54" spans="2:7" ht="15.75" customHeight="1">
      <c r="B54" s="465"/>
      <c r="C54" s="465"/>
      <c r="D54" s="472"/>
      <c r="E54" s="473"/>
      <c r="F54" s="473"/>
      <c r="G54" s="474"/>
    </row>
    <row r="55" spans="2:7" ht="39" customHeight="1">
      <c r="B55" s="466"/>
      <c r="C55" s="466"/>
      <c r="D55" s="475"/>
      <c r="E55" s="476"/>
      <c r="F55" s="476"/>
      <c r="G55" s="477"/>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B4:G4"/>
    <mergeCell ref="C5:G5"/>
    <mergeCell ref="C6:G6"/>
    <mergeCell ref="C8:G8"/>
    <mergeCell ref="C9:G9"/>
    <mergeCell ref="C10:G10"/>
    <mergeCell ref="C11:G11"/>
    <mergeCell ref="D28:G31"/>
    <mergeCell ref="D32:G35"/>
    <mergeCell ref="D36:G39"/>
    <mergeCell ref="B12:G13"/>
    <mergeCell ref="B19:G19"/>
    <mergeCell ref="B20:D20"/>
    <mergeCell ref="B21:D21"/>
    <mergeCell ref="B22:D22"/>
    <mergeCell ref="C24:C27"/>
    <mergeCell ref="D24:G27"/>
    <mergeCell ref="B24:B27"/>
    <mergeCell ref="B28:B31"/>
    <mergeCell ref="C28:C31"/>
    <mergeCell ref="B32:B35"/>
    <mergeCell ref="D48:G51"/>
    <mergeCell ref="B52:B55"/>
    <mergeCell ref="C52:C55"/>
    <mergeCell ref="D52:G55"/>
    <mergeCell ref="B40:B43"/>
    <mergeCell ref="C40:C43"/>
    <mergeCell ref="D40:G43"/>
    <mergeCell ref="B44:B47"/>
    <mergeCell ref="C44:C47"/>
    <mergeCell ref="D44:G47"/>
    <mergeCell ref="C32:C35"/>
    <mergeCell ref="B36:B39"/>
    <mergeCell ref="C36:C39"/>
    <mergeCell ref="B48:B51"/>
    <mergeCell ref="C48:C51"/>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2"/>
  <sheetViews>
    <sheetView workbookViewId="0">
      <selection activeCell="B90" sqref="B90"/>
    </sheetView>
  </sheetViews>
  <sheetFormatPr defaultColWidth="14.42578125" defaultRowHeight="15" customHeight="1"/>
  <cols>
    <col min="1" max="1" width="58.5703125" customWidth="1"/>
    <col min="2" max="2" width="73.5703125" customWidth="1"/>
    <col min="3" max="3" width="21.5703125" customWidth="1"/>
    <col min="4" max="4" width="27.85546875" customWidth="1"/>
    <col min="5" max="26" width="45.85546875" customWidth="1"/>
  </cols>
  <sheetData>
    <row r="1" spans="2:3" ht="12.75" customHeight="1"/>
    <row r="2" spans="2:3" ht="12.75" customHeight="1"/>
    <row r="3" spans="2:3" ht="9" customHeight="1">
      <c r="B3" s="499" t="s">
        <v>100</v>
      </c>
      <c r="C3" s="471"/>
    </row>
    <row r="4" spans="2:3" ht="13.5" customHeight="1">
      <c r="B4" s="472"/>
      <c r="C4" s="474"/>
    </row>
    <row r="5" spans="2:3" ht="13.5" customHeight="1">
      <c r="B5" s="472"/>
      <c r="C5" s="474"/>
    </row>
    <row r="6" spans="2:3" ht="2.25" customHeight="1">
      <c r="B6" s="475"/>
      <c r="C6" s="477"/>
    </row>
    <row r="7" spans="2:3" ht="7.5" customHeight="1">
      <c r="B7" s="497" t="s">
        <v>314</v>
      </c>
      <c r="C7" s="471"/>
    </row>
    <row r="8" spans="2:3" ht="6.75" customHeight="1">
      <c r="B8" s="472"/>
      <c r="C8" s="474"/>
    </row>
    <row r="9" spans="2:3" ht="13.5" customHeight="1">
      <c r="B9" s="493" t="s">
        <v>184</v>
      </c>
      <c r="C9" s="500"/>
    </row>
    <row r="10" spans="2:3" ht="12" customHeight="1">
      <c r="B10" s="501"/>
      <c r="C10" s="502"/>
    </row>
    <row r="11" spans="2:3" ht="15" customHeight="1">
      <c r="B11" s="494" t="s">
        <v>101</v>
      </c>
      <c r="C11" s="495"/>
    </row>
    <row r="12" spans="2:3" ht="13.5" customHeight="1">
      <c r="B12" s="133" t="s">
        <v>161</v>
      </c>
      <c r="C12" s="134"/>
    </row>
    <row r="13" spans="2:3" ht="19.5" customHeight="1">
      <c r="B13" s="135" t="s">
        <v>102</v>
      </c>
      <c r="C13" s="134"/>
    </row>
    <row r="14" spans="2:3" ht="21" customHeight="1">
      <c r="B14" s="135" t="s">
        <v>178</v>
      </c>
      <c r="C14" s="134"/>
    </row>
    <row r="15" spans="2:3" ht="20.25" customHeight="1">
      <c r="B15" s="135" t="s">
        <v>179</v>
      </c>
      <c r="C15" s="134"/>
    </row>
    <row r="16" spans="2:3" ht="18.75" customHeight="1">
      <c r="B16" s="135" t="s">
        <v>180</v>
      </c>
      <c r="C16" s="134"/>
    </row>
    <row r="17" spans="1:3" ht="18" customHeight="1">
      <c r="A17" s="136"/>
      <c r="B17" s="294" t="s">
        <v>181</v>
      </c>
      <c r="C17" s="134"/>
    </row>
    <row r="18" spans="1:3" ht="16.5" customHeight="1">
      <c r="A18" s="136"/>
      <c r="B18" s="137" t="s">
        <v>182</v>
      </c>
      <c r="C18" s="138"/>
    </row>
    <row r="19" spans="1:3" ht="19.5" customHeight="1">
      <c r="A19" s="136"/>
      <c r="B19" s="139" t="s">
        <v>183</v>
      </c>
      <c r="C19" s="140"/>
    </row>
    <row r="20" spans="1:3" ht="27" customHeight="1">
      <c r="B20" s="141"/>
      <c r="C20" s="142"/>
    </row>
    <row r="21" spans="1:3" ht="12.75" customHeight="1">
      <c r="C21" s="142"/>
    </row>
    <row r="22" spans="1:3" ht="13.5" customHeight="1">
      <c r="B22" s="496" t="s">
        <v>100</v>
      </c>
      <c r="C22" s="471"/>
    </row>
    <row r="23" spans="1:3" ht="10.5" customHeight="1">
      <c r="B23" s="472"/>
      <c r="C23" s="474"/>
    </row>
    <row r="24" spans="1:3" ht="13.5" hidden="1" customHeight="1">
      <c r="B24" s="472"/>
      <c r="C24" s="474"/>
    </row>
    <row r="25" spans="1:3" ht="13.5" hidden="1" customHeight="1">
      <c r="B25" s="475"/>
      <c r="C25" s="477"/>
    </row>
    <row r="26" spans="1:3" ht="12.75" customHeight="1">
      <c r="B26" s="497" t="s">
        <v>313</v>
      </c>
      <c r="C26" s="471"/>
    </row>
    <row r="27" spans="1:3" ht="12.75" customHeight="1">
      <c r="B27" s="472"/>
      <c r="C27" s="474"/>
    </row>
    <row r="28" spans="1:3" ht="12.75" customHeight="1">
      <c r="B28" s="493" t="s">
        <v>185</v>
      </c>
      <c r="C28" s="483"/>
    </row>
    <row r="29" spans="1:3" ht="12.75" customHeight="1">
      <c r="B29" s="472"/>
      <c r="C29" s="474"/>
    </row>
    <row r="30" spans="1:3" ht="12.75" customHeight="1">
      <c r="B30" s="494" t="s">
        <v>101</v>
      </c>
      <c r="C30" s="495"/>
    </row>
    <row r="31" spans="1:3" ht="17.25" customHeight="1">
      <c r="B31" s="133" t="s">
        <v>161</v>
      </c>
      <c r="C31" s="134"/>
    </row>
    <row r="32" spans="1:3" ht="12.75" customHeight="1">
      <c r="B32" s="135" t="s">
        <v>203</v>
      </c>
      <c r="C32" s="134"/>
    </row>
    <row r="33" spans="2:5" ht="12.75" customHeight="1">
      <c r="B33" s="135" t="s">
        <v>311</v>
      </c>
      <c r="C33" s="134"/>
    </row>
    <row r="34" spans="2:5" ht="12.75" customHeight="1">
      <c r="B34" s="135" t="s">
        <v>186</v>
      </c>
      <c r="C34" s="134"/>
    </row>
    <row r="35" spans="2:5" ht="12.75" customHeight="1">
      <c r="B35" s="294" t="s">
        <v>188</v>
      </c>
      <c r="C35" s="134"/>
    </row>
    <row r="36" spans="2:5" ht="12.75" customHeight="1">
      <c r="B36" s="143" t="s">
        <v>187</v>
      </c>
      <c r="C36" s="140"/>
    </row>
    <row r="37" spans="2:5" ht="12.75" customHeight="1">
      <c r="B37" s="141"/>
      <c r="C37" s="142"/>
    </row>
    <row r="38" spans="2:5" ht="12.75" customHeight="1">
      <c r="D38" s="96"/>
    </row>
    <row r="39" spans="2:5" ht="13.5" customHeight="1">
      <c r="C39" s="144"/>
    </row>
    <row r="40" spans="2:5" ht="13.5" customHeight="1">
      <c r="D40" s="145"/>
    </row>
    <row r="41" spans="2:5" ht="13.5" customHeight="1">
      <c r="B41" s="496" t="s">
        <v>100</v>
      </c>
      <c r="C41" s="471"/>
      <c r="E41" s="146"/>
    </row>
    <row r="42" spans="2:5" ht="13.5" customHeight="1">
      <c r="B42" s="472"/>
      <c r="C42" s="474"/>
      <c r="E42" s="146"/>
    </row>
    <row r="43" spans="2:5" ht="6.75" customHeight="1">
      <c r="B43" s="472"/>
      <c r="C43" s="474"/>
      <c r="E43" s="146"/>
    </row>
    <row r="44" spans="2:5" ht="12.75" hidden="1" customHeight="1">
      <c r="B44" s="475"/>
      <c r="C44" s="477"/>
      <c r="E44" s="146"/>
    </row>
    <row r="45" spans="2:5" ht="12.75" customHeight="1">
      <c r="B45" s="497" t="s">
        <v>312</v>
      </c>
      <c r="C45" s="471"/>
      <c r="E45" s="146"/>
    </row>
    <row r="46" spans="2:5" ht="12.75" customHeight="1">
      <c r="B46" s="472"/>
      <c r="C46" s="474"/>
      <c r="E46" s="146"/>
    </row>
    <row r="47" spans="2:5" ht="12.75" customHeight="1">
      <c r="B47" s="147" t="s">
        <v>198</v>
      </c>
      <c r="C47" s="148"/>
      <c r="E47" s="146"/>
    </row>
    <row r="48" spans="2:5" ht="12.75" customHeight="1">
      <c r="B48" s="498" t="s">
        <v>101</v>
      </c>
      <c r="C48" s="495"/>
      <c r="E48" s="146"/>
    </row>
    <row r="49" spans="1:26" ht="12.75" customHeight="1">
      <c r="B49" s="149" t="s">
        <v>199</v>
      </c>
      <c r="C49" s="150"/>
      <c r="E49" s="142"/>
    </row>
    <row r="50" spans="1:26" ht="12.75" customHeight="1">
      <c r="B50" s="149" t="s">
        <v>103</v>
      </c>
      <c r="C50" s="150"/>
      <c r="E50" s="142"/>
    </row>
    <row r="51" spans="1:26" ht="12.75" customHeight="1">
      <c r="B51" s="151" t="s">
        <v>200</v>
      </c>
      <c r="C51" s="150"/>
    </row>
    <row r="52" spans="1:26" ht="12.75" customHeight="1">
      <c r="B52" s="135" t="s">
        <v>311</v>
      </c>
      <c r="C52" s="150"/>
    </row>
    <row r="53" spans="1:26" ht="12.75" customHeight="1">
      <c r="B53" s="135" t="s">
        <v>204</v>
      </c>
      <c r="C53" s="150"/>
    </row>
    <row r="54" spans="1:26" ht="12.75" customHeight="1">
      <c r="B54" s="302" t="s">
        <v>202</v>
      </c>
      <c r="C54" s="150"/>
    </row>
    <row r="55" spans="1:26" ht="12.75" customHeight="1">
      <c r="A55" s="142"/>
      <c r="B55" s="152"/>
      <c r="C55" s="150"/>
      <c r="D55" s="142"/>
      <c r="F55" s="142"/>
      <c r="G55" s="142"/>
      <c r="H55" s="142"/>
      <c r="I55" s="142"/>
      <c r="J55" s="142"/>
      <c r="K55" s="142"/>
      <c r="L55" s="142"/>
      <c r="M55" s="142"/>
      <c r="N55" s="142"/>
      <c r="O55" s="142"/>
      <c r="P55" s="142"/>
      <c r="Q55" s="142"/>
      <c r="R55" s="142"/>
      <c r="S55" s="142"/>
      <c r="T55" s="142"/>
      <c r="U55" s="142"/>
      <c r="V55" s="142"/>
      <c r="W55" s="142"/>
      <c r="X55" s="142"/>
      <c r="Y55" s="142"/>
      <c r="Z55" s="142"/>
    </row>
    <row r="56" spans="1:26" ht="12.75" customHeight="1">
      <c r="A56" s="142"/>
      <c r="B56" s="143" t="s">
        <v>183</v>
      </c>
      <c r="C56" s="153"/>
      <c r="D56" s="142"/>
      <c r="F56" s="142"/>
      <c r="G56" s="142"/>
      <c r="H56" s="142"/>
      <c r="I56" s="142"/>
      <c r="J56" s="142"/>
      <c r="K56" s="142"/>
      <c r="L56" s="142"/>
      <c r="M56" s="142"/>
      <c r="N56" s="142"/>
      <c r="O56" s="142"/>
      <c r="P56" s="142"/>
      <c r="Q56" s="142"/>
      <c r="R56" s="142"/>
      <c r="S56" s="142"/>
      <c r="T56" s="142"/>
      <c r="U56" s="142"/>
      <c r="V56" s="142"/>
      <c r="W56" s="142"/>
      <c r="X56" s="142"/>
      <c r="Y56" s="142"/>
      <c r="Z56" s="142"/>
    </row>
    <row r="57" spans="1:26" ht="13.5" customHeight="1">
      <c r="B57" s="141"/>
      <c r="C57" s="142"/>
    </row>
    <row r="58" spans="1:26" ht="13.5" customHeight="1">
      <c r="C58" s="142"/>
    </row>
    <row r="59" spans="1:26" ht="13.5" customHeight="1">
      <c r="B59" s="496" t="s">
        <v>100</v>
      </c>
      <c r="C59" s="471"/>
    </row>
    <row r="60" spans="1:26" ht="13.5" customHeight="1">
      <c r="B60" s="472"/>
      <c r="C60" s="474"/>
    </row>
    <row r="61" spans="1:26" ht="12.75" customHeight="1">
      <c r="B61" s="472"/>
      <c r="C61" s="474"/>
    </row>
    <row r="62" spans="1:26" ht="12.75" customHeight="1">
      <c r="B62" s="475"/>
      <c r="C62" s="477"/>
    </row>
    <row r="63" spans="1:26" ht="12.75" customHeight="1">
      <c r="B63" s="497" t="s">
        <v>104</v>
      </c>
      <c r="C63" s="471"/>
    </row>
    <row r="64" spans="1:26" ht="12.75" customHeight="1">
      <c r="B64" s="472"/>
      <c r="C64" s="474"/>
    </row>
    <row r="65" spans="1:26" ht="12.75" customHeight="1">
      <c r="B65" s="493" t="s">
        <v>241</v>
      </c>
      <c r="C65" s="483"/>
    </row>
    <row r="66" spans="1:26" ht="12.75" customHeight="1">
      <c r="B66" s="472"/>
      <c r="C66" s="474"/>
    </row>
    <row r="67" spans="1:26" ht="12.75" customHeight="1">
      <c r="B67" s="494" t="s">
        <v>101</v>
      </c>
      <c r="C67" s="495"/>
    </row>
    <row r="68" spans="1:26" ht="12.75" customHeight="1">
      <c r="B68" s="133" t="s">
        <v>235</v>
      </c>
      <c r="C68" s="134"/>
      <c r="E68" s="142"/>
    </row>
    <row r="69" spans="1:26" ht="12.75" customHeight="1">
      <c r="B69" s="135" t="s">
        <v>203</v>
      </c>
      <c r="C69" s="134"/>
      <c r="E69" s="142"/>
    </row>
    <row r="70" spans="1:26" ht="12.75" customHeight="1">
      <c r="B70" s="135" t="s">
        <v>242</v>
      </c>
      <c r="C70" s="134"/>
    </row>
    <row r="71" spans="1:26" ht="12.75" customHeight="1">
      <c r="B71" s="135" t="s">
        <v>243</v>
      </c>
      <c r="C71" s="134"/>
    </row>
    <row r="72" spans="1:26" ht="12.75" customHeight="1">
      <c r="A72" s="142"/>
      <c r="B72" s="302" t="s">
        <v>105</v>
      </c>
      <c r="C72" s="134"/>
      <c r="F72" s="142"/>
      <c r="G72" s="142"/>
      <c r="H72" s="142"/>
      <c r="I72" s="142"/>
      <c r="J72" s="142"/>
      <c r="K72" s="142"/>
      <c r="L72" s="142"/>
      <c r="M72" s="142"/>
      <c r="N72" s="142"/>
      <c r="O72" s="142"/>
      <c r="P72" s="142"/>
      <c r="Q72" s="142"/>
      <c r="R72" s="142"/>
      <c r="S72" s="142"/>
      <c r="T72" s="142"/>
      <c r="U72" s="142"/>
      <c r="V72" s="142"/>
      <c r="W72" s="142"/>
      <c r="X72" s="142"/>
      <c r="Y72" s="142"/>
      <c r="Z72" s="142"/>
    </row>
    <row r="73" spans="1:26" ht="12.75" customHeight="1">
      <c r="B73" s="143" t="s">
        <v>187</v>
      </c>
      <c r="C73" s="140"/>
    </row>
    <row r="74" spans="1:26" ht="93.75" customHeight="1">
      <c r="C74" s="142"/>
    </row>
    <row r="75" spans="1:26" ht="13.5" customHeight="1"/>
    <row r="76" spans="1:26" ht="13.5" customHeight="1"/>
    <row r="77" spans="1:26" ht="13.5" customHeight="1"/>
    <row r="78" spans="1:26" ht="12.75" customHeight="1"/>
    <row r="79" spans="1:26" ht="12.75" customHeight="1"/>
    <row r="80" spans="1:26" ht="12.75" customHeight="1"/>
    <row r="81" spans="1:26" ht="12.75" customHeight="1"/>
    <row r="82" spans="1:26" ht="12.75" customHeight="1"/>
    <row r="83" spans="1:26" ht="12.75" customHeight="1"/>
    <row r="84" spans="1:26" ht="12.75" customHeight="1"/>
    <row r="85" spans="1:26" ht="12.75" customHeight="1"/>
    <row r="86" spans="1:26" ht="12.75" customHeight="1"/>
    <row r="87" spans="1:26" ht="12.75" customHeight="1"/>
    <row r="88" spans="1:26" ht="12.75" customHeight="1">
      <c r="A88" s="154"/>
    </row>
    <row r="89" spans="1:26" ht="12.75" customHeight="1">
      <c r="A89" s="136"/>
      <c r="D89" s="142"/>
      <c r="E89" s="142"/>
      <c r="F89" s="142"/>
      <c r="G89" s="142"/>
      <c r="H89" s="142"/>
      <c r="I89" s="142"/>
      <c r="J89" s="142"/>
      <c r="K89" s="142"/>
      <c r="L89" s="142"/>
      <c r="M89" s="142"/>
      <c r="N89" s="142"/>
      <c r="O89" s="142"/>
      <c r="P89" s="142"/>
      <c r="Q89" s="142"/>
      <c r="R89" s="142"/>
      <c r="S89" s="142"/>
      <c r="T89" s="142"/>
      <c r="U89" s="142"/>
      <c r="V89" s="142"/>
      <c r="W89" s="142"/>
      <c r="X89" s="142"/>
    </row>
    <row r="90" spans="1:26" ht="12.75" customHeight="1">
      <c r="A90" s="142"/>
      <c r="F90" s="142"/>
      <c r="G90" s="142"/>
      <c r="H90" s="142"/>
      <c r="I90" s="142"/>
      <c r="J90" s="142"/>
      <c r="K90" s="142"/>
      <c r="L90" s="142"/>
      <c r="M90" s="142"/>
      <c r="N90" s="142"/>
      <c r="O90" s="142"/>
      <c r="P90" s="142"/>
      <c r="Q90" s="142"/>
      <c r="R90" s="142"/>
      <c r="S90" s="142"/>
      <c r="T90" s="142"/>
      <c r="U90" s="142"/>
      <c r="V90" s="142"/>
      <c r="W90" s="142"/>
      <c r="X90" s="142"/>
      <c r="Y90" s="142"/>
      <c r="Z90" s="142"/>
    </row>
    <row r="91" spans="1:26" ht="13.5" customHeight="1"/>
    <row r="92" spans="1:26" ht="13.5" customHeight="1"/>
    <row r="93" spans="1:26" ht="13.5" customHeight="1">
      <c r="D93" s="155"/>
    </row>
    <row r="94" spans="1:26" ht="13.5" customHeight="1"/>
    <row r="95" spans="1:26" ht="12.75" customHeight="1"/>
    <row r="96" spans="1:2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5">
    <mergeCell ref="B26:C27"/>
    <mergeCell ref="B28:C29"/>
    <mergeCell ref="B67:C67"/>
    <mergeCell ref="B3:C6"/>
    <mergeCell ref="B7:C8"/>
    <mergeCell ref="B9:C10"/>
    <mergeCell ref="B11:C11"/>
    <mergeCell ref="B22:C25"/>
    <mergeCell ref="B30:C30"/>
    <mergeCell ref="B41:C44"/>
    <mergeCell ref="B45:C46"/>
    <mergeCell ref="B48:C48"/>
    <mergeCell ref="B59:C62"/>
    <mergeCell ref="B63:C64"/>
    <mergeCell ref="B65:C66"/>
  </mergeCells>
  <hyperlinks>
    <hyperlink ref="B17" r:id="rId1" xr:uid="{00000000-0004-0000-0500-000000000000}"/>
    <hyperlink ref="B35" r:id="rId2" xr:uid="{00000000-0004-0000-0500-000001000000}"/>
    <hyperlink ref="B54" r:id="rId3" xr:uid="{00000000-0004-0000-0500-000002000000}"/>
    <hyperlink ref="B72" r:id="rId4" xr:uid="{00000000-0004-0000-0500-000003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abSelected="1" zoomScale="87" zoomScaleNormal="87" workbookViewId="0">
      <selection activeCell="D11" sqref="D11"/>
    </sheetView>
  </sheetViews>
  <sheetFormatPr defaultColWidth="14.42578125" defaultRowHeight="15" customHeight="1"/>
  <cols>
    <col min="1" max="1" width="24.42578125" customWidth="1"/>
    <col min="2" max="2" width="15.140625" customWidth="1"/>
    <col min="3" max="3" width="35.85546875" customWidth="1"/>
    <col min="4" max="4" width="64.85546875" customWidth="1"/>
    <col min="5" max="5" width="22.42578125" customWidth="1"/>
    <col min="6" max="26" width="8.5703125" customWidth="1"/>
  </cols>
  <sheetData>
    <row r="1" spans="1:26" ht="12.75" customHeight="1">
      <c r="E1" s="156"/>
    </row>
    <row r="2" spans="1:26" ht="12.75" customHeight="1">
      <c r="E2" s="156"/>
    </row>
    <row r="3" spans="1:26" ht="13.5" customHeight="1">
      <c r="B3" s="503" t="s">
        <v>106</v>
      </c>
      <c r="C3" s="470"/>
      <c r="D3" s="470"/>
      <c r="E3" s="471"/>
      <c r="F3" s="157"/>
      <c r="G3" s="157"/>
      <c r="H3" s="157"/>
    </row>
    <row r="4" spans="1:26" ht="45.75" customHeight="1">
      <c r="B4" s="475"/>
      <c r="C4" s="476"/>
      <c r="D4" s="476"/>
      <c r="E4" s="477"/>
      <c r="F4" s="157"/>
      <c r="G4" s="157"/>
      <c r="H4" s="157"/>
    </row>
    <row r="5" spans="1:26" ht="44.25" customHeight="1">
      <c r="B5" s="158" t="s">
        <v>37</v>
      </c>
      <c r="C5" s="159" t="s">
        <v>107</v>
      </c>
      <c r="D5" s="159" t="s">
        <v>84</v>
      </c>
      <c r="E5" s="159" t="s">
        <v>108</v>
      </c>
    </row>
    <row r="6" spans="1:26" ht="27.75" customHeight="1">
      <c r="A6" s="3"/>
      <c r="B6" s="160">
        <v>1</v>
      </c>
      <c r="C6" s="161" t="s">
        <v>109</v>
      </c>
      <c r="D6" s="162" t="s">
        <v>110</v>
      </c>
      <c r="E6" s="160" t="s">
        <v>315</v>
      </c>
      <c r="F6" s="3"/>
      <c r="G6" s="3"/>
      <c r="H6" s="3"/>
      <c r="I6" s="3"/>
      <c r="J6" s="3"/>
      <c r="K6" s="3"/>
      <c r="L6" s="3"/>
      <c r="M6" s="3"/>
      <c r="N6" s="3"/>
      <c r="O6" s="3"/>
      <c r="P6" s="3"/>
      <c r="Q6" s="3"/>
      <c r="R6" s="3"/>
      <c r="S6" s="3"/>
      <c r="T6" s="3"/>
      <c r="U6" s="3"/>
      <c r="V6" s="3"/>
      <c r="W6" s="3"/>
      <c r="X6" s="3"/>
      <c r="Y6" s="3"/>
      <c r="Z6" s="3"/>
    </row>
    <row r="7" spans="1:26" ht="29.25" customHeight="1">
      <c r="A7" s="3"/>
      <c r="B7" s="160">
        <v>2</v>
      </c>
      <c r="C7" s="163" t="s">
        <v>111</v>
      </c>
      <c r="D7" s="164" t="s">
        <v>112</v>
      </c>
      <c r="E7" s="160" t="s">
        <v>316</v>
      </c>
      <c r="F7" s="3"/>
      <c r="G7" s="3"/>
      <c r="H7" s="3"/>
      <c r="I7" s="3"/>
      <c r="J7" s="3"/>
      <c r="K7" s="3"/>
      <c r="L7" s="3"/>
      <c r="M7" s="3"/>
      <c r="N7" s="3"/>
      <c r="O7" s="3"/>
      <c r="P7" s="3"/>
      <c r="Q7" s="3"/>
      <c r="R7" s="3"/>
      <c r="S7" s="3"/>
      <c r="T7" s="3"/>
      <c r="U7" s="3"/>
      <c r="V7" s="3"/>
      <c r="W7" s="3"/>
      <c r="X7" s="3"/>
      <c r="Y7" s="3"/>
      <c r="Z7" s="3"/>
    </row>
    <row r="8" spans="1:26" ht="27.75" customHeight="1">
      <c r="A8" s="165"/>
      <c r="B8" s="160">
        <v>3</v>
      </c>
      <c r="C8" s="163" t="s">
        <v>114</v>
      </c>
      <c r="D8" s="164" t="s">
        <v>115</v>
      </c>
      <c r="E8" s="160" t="s">
        <v>317</v>
      </c>
      <c r="F8" s="165"/>
      <c r="G8" s="165"/>
      <c r="H8" s="165"/>
      <c r="I8" s="165"/>
      <c r="J8" s="165"/>
      <c r="K8" s="165"/>
      <c r="L8" s="165"/>
      <c r="M8" s="165"/>
      <c r="N8" s="165"/>
      <c r="O8" s="165"/>
      <c r="P8" s="165"/>
      <c r="Q8" s="165"/>
      <c r="R8" s="165"/>
      <c r="S8" s="165"/>
      <c r="T8" s="165"/>
      <c r="U8" s="165"/>
      <c r="V8" s="165"/>
      <c r="W8" s="165"/>
      <c r="X8" s="165"/>
      <c r="Y8" s="165"/>
      <c r="Z8" s="165"/>
    </row>
    <row r="9" spans="1:26" ht="29.25" customHeight="1">
      <c r="A9" s="165"/>
      <c r="B9" s="160">
        <v>4</v>
      </c>
      <c r="C9" s="163" t="s">
        <v>116</v>
      </c>
      <c r="D9" s="164" t="s">
        <v>117</v>
      </c>
      <c r="E9" s="160" t="s">
        <v>318</v>
      </c>
      <c r="F9" s="165"/>
      <c r="G9" s="165"/>
      <c r="H9" s="165"/>
      <c r="I9" s="165"/>
      <c r="J9" s="165"/>
      <c r="K9" s="165"/>
      <c r="L9" s="165"/>
      <c r="M9" s="165"/>
      <c r="N9" s="165"/>
      <c r="O9" s="165"/>
      <c r="P9" s="165"/>
      <c r="Q9" s="165"/>
      <c r="R9" s="165"/>
      <c r="S9" s="165"/>
      <c r="T9" s="165"/>
      <c r="U9" s="165"/>
      <c r="V9" s="165"/>
      <c r="W9" s="165"/>
      <c r="X9" s="165"/>
      <c r="Y9" s="165"/>
      <c r="Z9" s="165"/>
    </row>
    <row r="10" spans="1:26" ht="28.5" customHeight="1">
      <c r="A10" s="165"/>
      <c r="B10" s="160">
        <v>5</v>
      </c>
      <c r="C10" s="163" t="s">
        <v>118</v>
      </c>
      <c r="D10" s="164" t="s">
        <v>119</v>
      </c>
      <c r="E10" s="160" t="s">
        <v>113</v>
      </c>
      <c r="F10" s="165"/>
      <c r="G10" s="165"/>
      <c r="H10" s="165"/>
      <c r="I10" s="165"/>
      <c r="J10" s="165"/>
      <c r="K10" s="165"/>
      <c r="L10" s="165"/>
      <c r="M10" s="165"/>
      <c r="N10" s="165"/>
      <c r="O10" s="165"/>
      <c r="P10" s="165"/>
      <c r="Q10" s="165"/>
      <c r="R10" s="165"/>
      <c r="S10" s="165"/>
      <c r="T10" s="165"/>
      <c r="U10" s="165"/>
      <c r="V10" s="165"/>
      <c r="W10" s="165"/>
      <c r="X10" s="165"/>
      <c r="Y10" s="165"/>
      <c r="Z10" s="165"/>
    </row>
    <row r="11" spans="1:26" ht="27.75" customHeight="1">
      <c r="A11" s="165"/>
      <c r="B11" s="160">
        <v>6</v>
      </c>
      <c r="C11" s="163" t="s">
        <v>120</v>
      </c>
      <c r="D11" s="164" t="s">
        <v>319</v>
      </c>
      <c r="E11" s="160">
        <v>2.5</v>
      </c>
      <c r="F11" s="165"/>
      <c r="G11" s="165"/>
      <c r="H11" s="165"/>
      <c r="I11" s="165"/>
      <c r="J11" s="165"/>
      <c r="K11" s="165"/>
      <c r="L11" s="165"/>
      <c r="M11" s="165"/>
      <c r="N11" s="165"/>
      <c r="O11" s="165"/>
      <c r="P11" s="165"/>
      <c r="Q11" s="165"/>
      <c r="R11" s="165"/>
      <c r="S11" s="165"/>
      <c r="T11" s="165"/>
      <c r="U11" s="165"/>
      <c r="V11" s="165"/>
      <c r="W11" s="165"/>
      <c r="X11" s="165"/>
      <c r="Y11" s="165"/>
      <c r="Z11" s="165"/>
    </row>
    <row r="12" spans="1:26" ht="29.25" customHeight="1">
      <c r="A12" s="165"/>
      <c r="B12" s="160">
        <v>7</v>
      </c>
      <c r="C12" s="163" t="s">
        <v>121</v>
      </c>
      <c r="D12" s="164" t="s">
        <v>122</v>
      </c>
      <c r="E12" s="160" t="s">
        <v>50</v>
      </c>
      <c r="F12" s="165"/>
      <c r="G12" s="165"/>
      <c r="H12" s="165"/>
      <c r="I12" s="165"/>
      <c r="J12" s="165"/>
      <c r="K12" s="165"/>
      <c r="L12" s="165"/>
      <c r="M12" s="165"/>
      <c r="N12" s="165"/>
      <c r="O12" s="165"/>
      <c r="P12" s="165"/>
      <c r="Q12" s="165"/>
      <c r="R12" s="165"/>
      <c r="S12" s="165"/>
      <c r="T12" s="165"/>
      <c r="U12" s="165"/>
      <c r="V12" s="165"/>
      <c r="W12" s="165"/>
      <c r="X12" s="165"/>
      <c r="Y12" s="165"/>
      <c r="Z12" s="165"/>
    </row>
    <row r="13" spans="1:26" ht="29.25" customHeight="1">
      <c r="A13" s="165"/>
      <c r="B13" s="160">
        <v>8</v>
      </c>
      <c r="C13" s="163" t="s">
        <v>123</v>
      </c>
      <c r="D13" s="164" t="s">
        <v>124</v>
      </c>
      <c r="E13" s="160" t="s">
        <v>50</v>
      </c>
      <c r="F13" s="165"/>
      <c r="G13" s="165"/>
      <c r="H13" s="165"/>
      <c r="I13" s="165"/>
      <c r="J13" s="165"/>
      <c r="K13" s="165"/>
      <c r="L13" s="165"/>
      <c r="M13" s="165"/>
      <c r="N13" s="165"/>
      <c r="O13" s="165"/>
      <c r="P13" s="165"/>
      <c r="Q13" s="165"/>
      <c r="R13" s="165"/>
      <c r="S13" s="165"/>
      <c r="T13" s="165"/>
      <c r="U13" s="165"/>
      <c r="V13" s="165"/>
      <c r="W13" s="165"/>
      <c r="X13" s="165"/>
      <c r="Y13" s="165"/>
      <c r="Z13" s="165"/>
    </row>
    <row r="14" spans="1:26" ht="28.5" customHeight="1">
      <c r="A14" s="165"/>
      <c r="B14" s="160">
        <v>9</v>
      </c>
      <c r="C14" s="163" t="s">
        <v>125</v>
      </c>
      <c r="D14" s="164" t="s">
        <v>126</v>
      </c>
      <c r="E14" s="160" t="s">
        <v>50</v>
      </c>
      <c r="F14" s="165"/>
      <c r="G14" s="165"/>
      <c r="H14" s="165"/>
      <c r="I14" s="165"/>
      <c r="J14" s="165"/>
      <c r="K14" s="165"/>
      <c r="L14" s="165"/>
      <c r="M14" s="165"/>
      <c r="N14" s="165"/>
      <c r="O14" s="165"/>
      <c r="P14" s="165"/>
      <c r="Q14" s="165"/>
      <c r="R14" s="165"/>
      <c r="S14" s="165"/>
      <c r="T14" s="165"/>
      <c r="U14" s="165"/>
      <c r="V14" s="165"/>
      <c r="W14" s="165"/>
      <c r="X14" s="165"/>
      <c r="Y14" s="165"/>
      <c r="Z14" s="165"/>
    </row>
    <row r="15" spans="1:26" ht="28.5" customHeight="1">
      <c r="A15" s="165"/>
      <c r="B15" s="160">
        <v>10</v>
      </c>
      <c r="C15" s="163" t="s">
        <v>127</v>
      </c>
      <c r="D15" s="164" t="s">
        <v>128</v>
      </c>
      <c r="E15" s="160" t="s">
        <v>50</v>
      </c>
      <c r="F15" s="165"/>
      <c r="G15" s="165"/>
      <c r="H15" s="165"/>
      <c r="I15" s="165"/>
      <c r="J15" s="165"/>
      <c r="K15" s="165"/>
      <c r="L15" s="165"/>
      <c r="M15" s="165"/>
      <c r="N15" s="165"/>
      <c r="O15" s="165"/>
      <c r="P15" s="165"/>
      <c r="Q15" s="165"/>
      <c r="R15" s="165"/>
      <c r="S15" s="165"/>
      <c r="T15" s="165"/>
      <c r="U15" s="165"/>
      <c r="V15" s="165"/>
      <c r="W15" s="165"/>
      <c r="X15" s="165"/>
      <c r="Y15" s="165"/>
      <c r="Z15" s="165"/>
    </row>
    <row r="16" spans="1:26" ht="28.5" customHeight="1">
      <c r="A16" s="165"/>
      <c r="B16" s="160">
        <v>11</v>
      </c>
      <c r="C16" s="163" t="s">
        <v>129</v>
      </c>
      <c r="D16" s="164" t="s">
        <v>130</v>
      </c>
      <c r="E16" s="160" t="s">
        <v>50</v>
      </c>
      <c r="F16" s="165"/>
      <c r="G16" s="165"/>
      <c r="H16" s="165"/>
      <c r="I16" s="165"/>
      <c r="J16" s="165"/>
      <c r="K16" s="165"/>
      <c r="L16" s="165"/>
      <c r="M16" s="165"/>
      <c r="N16" s="165"/>
      <c r="O16" s="165"/>
      <c r="P16" s="165"/>
      <c r="Q16" s="165"/>
      <c r="R16" s="165"/>
      <c r="S16" s="165"/>
      <c r="T16" s="165"/>
      <c r="U16" s="165"/>
      <c r="V16" s="165"/>
      <c r="W16" s="165"/>
      <c r="X16" s="165"/>
      <c r="Y16" s="165"/>
      <c r="Z16" s="165"/>
    </row>
    <row r="17" spans="2:5" ht="12.75" customHeight="1">
      <c r="B17" s="166"/>
      <c r="E17" s="156"/>
    </row>
    <row r="18" spans="2:5" ht="12.75" customHeight="1">
      <c r="B18" s="166"/>
      <c r="E18" s="156"/>
    </row>
    <row r="19" spans="2:5" ht="12.75" customHeight="1">
      <c r="B19" s="166"/>
      <c r="E19" s="156"/>
    </row>
    <row r="20" spans="2:5" ht="12.75" customHeight="1">
      <c r="B20" s="166"/>
      <c r="E20" s="156"/>
    </row>
    <row r="21" spans="2:5" ht="12.75" customHeight="1">
      <c r="B21" s="166"/>
      <c r="E21" s="156"/>
    </row>
    <row r="22" spans="2:5" ht="12.75" customHeight="1">
      <c r="B22" s="166"/>
      <c r="E22" s="156"/>
    </row>
    <row r="23" spans="2:5" ht="12.75" customHeight="1">
      <c r="B23" s="166"/>
      <c r="E23" s="156"/>
    </row>
    <row r="24" spans="2:5" ht="12.75" customHeight="1">
      <c r="B24" s="166"/>
      <c r="E24" s="156"/>
    </row>
    <row r="25" spans="2:5" ht="12.75" customHeight="1">
      <c r="B25" s="166"/>
      <c r="E25" s="156"/>
    </row>
    <row r="26" spans="2:5" ht="12.75" customHeight="1">
      <c r="B26" s="166"/>
      <c r="E26" s="156"/>
    </row>
    <row r="27" spans="2:5" ht="12.75" customHeight="1">
      <c r="B27" s="166"/>
      <c r="E27" s="156"/>
    </row>
    <row r="28" spans="2:5" ht="12.75" customHeight="1">
      <c r="B28" s="166"/>
      <c r="E28" s="156"/>
    </row>
    <row r="29" spans="2:5" ht="12.75" customHeight="1">
      <c r="B29" s="166"/>
      <c r="E29" s="156"/>
    </row>
    <row r="30" spans="2:5" ht="12.75" customHeight="1">
      <c r="B30" s="166"/>
      <c r="E30" s="156"/>
    </row>
    <row r="31" spans="2:5" ht="12.75" customHeight="1">
      <c r="B31" s="166"/>
      <c r="E31" s="156"/>
    </row>
    <row r="32" spans="2:5" ht="12.75" customHeight="1">
      <c r="B32" s="166"/>
      <c r="E32" s="156"/>
    </row>
    <row r="33" spans="2:5" ht="12.75" customHeight="1">
      <c r="B33" s="166"/>
      <c r="E33" s="156"/>
    </row>
    <row r="34" spans="2:5" ht="12.75" customHeight="1">
      <c r="B34" s="166"/>
      <c r="E34" s="156"/>
    </row>
    <row r="35" spans="2:5" ht="12.75" customHeight="1">
      <c r="B35" s="166"/>
      <c r="E35" s="156"/>
    </row>
    <row r="36" spans="2:5" ht="12.75" customHeight="1">
      <c r="B36" s="166"/>
      <c r="E36" s="156"/>
    </row>
    <row r="37" spans="2:5" ht="12.75" customHeight="1">
      <c r="B37" s="166"/>
      <c r="E37" s="156"/>
    </row>
    <row r="38" spans="2:5" ht="12.75" customHeight="1">
      <c r="B38" s="166"/>
      <c r="E38" s="156"/>
    </row>
    <row r="39" spans="2:5" ht="12.75" customHeight="1">
      <c r="B39" s="166"/>
      <c r="E39" s="156"/>
    </row>
    <row r="40" spans="2:5" ht="12.75" customHeight="1">
      <c r="B40" s="166"/>
      <c r="E40" s="156"/>
    </row>
    <row r="41" spans="2:5" ht="12.75" customHeight="1">
      <c r="B41" s="166"/>
      <c r="E41" s="156"/>
    </row>
    <row r="42" spans="2:5" ht="12.75" customHeight="1">
      <c r="B42" s="166"/>
      <c r="E42" s="156"/>
    </row>
    <row r="43" spans="2:5" ht="12.75" customHeight="1">
      <c r="B43" s="166"/>
      <c r="E43" s="156"/>
    </row>
    <row r="44" spans="2:5" ht="12.75" customHeight="1">
      <c r="B44" s="166"/>
      <c r="E44" s="156"/>
    </row>
    <row r="45" spans="2:5" ht="12.75" customHeight="1">
      <c r="B45" s="166"/>
      <c r="E45" s="156"/>
    </row>
    <row r="46" spans="2:5" ht="12.75" customHeight="1">
      <c r="B46" s="166"/>
      <c r="E46" s="156"/>
    </row>
    <row r="47" spans="2:5" ht="12.75" customHeight="1">
      <c r="B47" s="166"/>
      <c r="E47" s="156"/>
    </row>
    <row r="48" spans="2:5" ht="12.75" customHeight="1">
      <c r="B48" s="166"/>
      <c r="E48" s="156"/>
    </row>
    <row r="49" spans="2:5" ht="12.75" customHeight="1">
      <c r="B49" s="166"/>
      <c r="E49" s="156"/>
    </row>
    <row r="50" spans="2:5" ht="12.75" customHeight="1">
      <c r="E50" s="156"/>
    </row>
    <row r="51" spans="2:5" ht="12.75" customHeight="1">
      <c r="E51" s="156"/>
    </row>
    <row r="52" spans="2:5" ht="12.75" customHeight="1">
      <c r="E52" s="156"/>
    </row>
    <row r="53" spans="2:5" ht="12.75" customHeight="1">
      <c r="E53" s="156"/>
    </row>
    <row r="54" spans="2:5" ht="12.75" customHeight="1">
      <c r="E54" s="156"/>
    </row>
    <row r="55" spans="2:5" ht="12.75" customHeight="1">
      <c r="E55" s="156"/>
    </row>
    <row r="56" spans="2:5" ht="12.75" customHeight="1">
      <c r="E56" s="156"/>
    </row>
    <row r="57" spans="2:5" ht="12.75" customHeight="1">
      <c r="E57" s="156"/>
    </row>
    <row r="58" spans="2:5" ht="12.75" customHeight="1">
      <c r="E58" s="156"/>
    </row>
    <row r="59" spans="2:5" ht="12.75" customHeight="1">
      <c r="E59" s="156"/>
    </row>
    <row r="60" spans="2:5" ht="12.75" customHeight="1">
      <c r="E60" s="156"/>
    </row>
    <row r="61" spans="2:5" ht="12.75" customHeight="1">
      <c r="E61" s="156"/>
    </row>
    <row r="62" spans="2:5" ht="12.75" customHeight="1">
      <c r="E62" s="156"/>
    </row>
    <row r="63" spans="2:5" ht="12.75" customHeight="1">
      <c r="E63" s="156"/>
    </row>
    <row r="64" spans="2:5" ht="12.75" customHeight="1">
      <c r="E64" s="156"/>
    </row>
    <row r="65" spans="5:5" ht="12.75" customHeight="1">
      <c r="E65" s="156"/>
    </row>
    <row r="66" spans="5:5" ht="12.75" customHeight="1">
      <c r="E66" s="156"/>
    </row>
    <row r="67" spans="5:5" ht="12.75" customHeight="1">
      <c r="E67" s="156"/>
    </row>
    <row r="68" spans="5:5" ht="12.75" customHeight="1">
      <c r="E68" s="156"/>
    </row>
    <row r="69" spans="5:5" ht="12.75" customHeight="1">
      <c r="E69" s="156"/>
    </row>
    <row r="70" spans="5:5" ht="12.75" customHeight="1">
      <c r="E70" s="156"/>
    </row>
    <row r="71" spans="5:5" ht="12.75" customHeight="1">
      <c r="E71" s="156"/>
    </row>
    <row r="72" spans="5:5" ht="12.75" customHeight="1">
      <c r="E72" s="156"/>
    </row>
    <row r="73" spans="5:5" ht="12.75" customHeight="1">
      <c r="E73" s="156"/>
    </row>
    <row r="74" spans="5:5" ht="12.75" customHeight="1">
      <c r="E74" s="156"/>
    </row>
    <row r="75" spans="5:5" ht="12.75" customHeight="1">
      <c r="E75" s="156"/>
    </row>
    <row r="76" spans="5:5" ht="12.75" customHeight="1">
      <c r="E76" s="156"/>
    </row>
    <row r="77" spans="5:5" ht="12.75" customHeight="1">
      <c r="E77" s="156"/>
    </row>
    <row r="78" spans="5:5" ht="12.75" customHeight="1">
      <c r="E78" s="156"/>
    </row>
    <row r="79" spans="5:5" ht="12.75" customHeight="1">
      <c r="E79" s="156"/>
    </row>
    <row r="80" spans="5:5" ht="12.75" customHeight="1">
      <c r="E80" s="156"/>
    </row>
    <row r="81" spans="5:5" ht="12.75" customHeight="1">
      <c r="E81" s="156"/>
    </row>
    <row r="82" spans="5:5" ht="12.75" customHeight="1">
      <c r="E82" s="156"/>
    </row>
    <row r="83" spans="5:5" ht="12.75" customHeight="1">
      <c r="E83" s="156"/>
    </row>
    <row r="84" spans="5:5" ht="12.75" customHeight="1">
      <c r="E84" s="156"/>
    </row>
    <row r="85" spans="5:5" ht="12.75" customHeight="1">
      <c r="E85" s="156"/>
    </row>
    <row r="86" spans="5:5" ht="12.75" customHeight="1">
      <c r="E86" s="156"/>
    </row>
    <row r="87" spans="5:5" ht="12.75" customHeight="1">
      <c r="E87" s="156"/>
    </row>
    <row r="88" spans="5:5" ht="12.75" customHeight="1">
      <c r="E88" s="156"/>
    </row>
    <row r="89" spans="5:5" ht="12.75" customHeight="1">
      <c r="E89" s="156"/>
    </row>
    <row r="90" spans="5:5" ht="12.75" customHeight="1">
      <c r="E90" s="156"/>
    </row>
    <row r="91" spans="5:5" ht="12.75" customHeight="1">
      <c r="E91" s="156"/>
    </row>
    <row r="92" spans="5:5" ht="12.75" customHeight="1">
      <c r="E92" s="156"/>
    </row>
    <row r="93" spans="5:5" ht="12.75" customHeight="1">
      <c r="E93" s="156"/>
    </row>
    <row r="94" spans="5:5" ht="12.75" customHeight="1">
      <c r="E94" s="156"/>
    </row>
    <row r="95" spans="5:5" ht="12.75" customHeight="1">
      <c r="E95" s="156"/>
    </row>
    <row r="96" spans="5:5" ht="12.75" customHeight="1">
      <c r="E96" s="156"/>
    </row>
    <row r="97" spans="5:5" ht="12.75" customHeight="1">
      <c r="E97" s="156"/>
    </row>
    <row r="98" spans="5:5" ht="12.75" customHeight="1">
      <c r="E98" s="156"/>
    </row>
    <row r="99" spans="5:5" ht="12.75" customHeight="1">
      <c r="E99" s="156"/>
    </row>
    <row r="100" spans="5:5" ht="12.75" customHeight="1">
      <c r="E100" s="156"/>
    </row>
    <row r="101" spans="5:5" ht="12.75" customHeight="1">
      <c r="E101" s="156"/>
    </row>
    <row r="102" spans="5:5" ht="12.75" customHeight="1">
      <c r="E102" s="156"/>
    </row>
    <row r="103" spans="5:5" ht="12.75" customHeight="1">
      <c r="E103" s="156"/>
    </row>
    <row r="104" spans="5:5" ht="12.75" customHeight="1">
      <c r="E104" s="156"/>
    </row>
    <row r="105" spans="5:5" ht="12.75" customHeight="1">
      <c r="E105" s="156"/>
    </row>
    <row r="106" spans="5:5" ht="12.75" customHeight="1">
      <c r="E106" s="156"/>
    </row>
    <row r="107" spans="5:5" ht="12.75" customHeight="1">
      <c r="E107" s="156"/>
    </row>
    <row r="108" spans="5:5" ht="12.75" customHeight="1">
      <c r="E108" s="156"/>
    </row>
    <row r="109" spans="5:5" ht="12.75" customHeight="1">
      <c r="E109" s="156"/>
    </row>
    <row r="110" spans="5:5" ht="12.75" customHeight="1">
      <c r="E110" s="156"/>
    </row>
    <row r="111" spans="5:5" ht="12.75" customHeight="1">
      <c r="E111" s="156"/>
    </row>
    <row r="112" spans="5:5" ht="12.75" customHeight="1">
      <c r="E112" s="156"/>
    </row>
    <row r="113" spans="5:5" ht="12.75" customHeight="1">
      <c r="E113" s="156"/>
    </row>
    <row r="114" spans="5:5" ht="12.75" customHeight="1">
      <c r="E114" s="156"/>
    </row>
    <row r="115" spans="5:5" ht="12.75" customHeight="1">
      <c r="E115" s="156"/>
    </row>
    <row r="116" spans="5:5" ht="12.75" customHeight="1">
      <c r="E116" s="156"/>
    </row>
    <row r="117" spans="5:5" ht="12.75" customHeight="1">
      <c r="E117" s="156"/>
    </row>
    <row r="118" spans="5:5" ht="12.75" customHeight="1">
      <c r="E118" s="156"/>
    </row>
    <row r="119" spans="5:5" ht="12.75" customHeight="1">
      <c r="E119" s="156"/>
    </row>
    <row r="120" spans="5:5" ht="12.75" customHeight="1">
      <c r="E120" s="156"/>
    </row>
    <row r="121" spans="5:5" ht="12.75" customHeight="1">
      <c r="E121" s="156"/>
    </row>
    <row r="122" spans="5:5" ht="12.75" customHeight="1">
      <c r="E122" s="156"/>
    </row>
    <row r="123" spans="5:5" ht="12.75" customHeight="1">
      <c r="E123" s="156"/>
    </row>
    <row r="124" spans="5:5" ht="12.75" customHeight="1">
      <c r="E124" s="156"/>
    </row>
    <row r="125" spans="5:5" ht="12.75" customHeight="1">
      <c r="E125" s="156"/>
    </row>
    <row r="126" spans="5:5" ht="12.75" customHeight="1">
      <c r="E126" s="156"/>
    </row>
    <row r="127" spans="5:5" ht="12.75" customHeight="1">
      <c r="E127" s="156"/>
    </row>
    <row r="128" spans="5:5" ht="12.75" customHeight="1">
      <c r="E128" s="156"/>
    </row>
    <row r="129" spans="5:5" ht="12.75" customHeight="1">
      <c r="E129" s="156"/>
    </row>
    <row r="130" spans="5:5" ht="12.75" customHeight="1">
      <c r="E130" s="156"/>
    </row>
    <row r="131" spans="5:5" ht="12.75" customHeight="1">
      <c r="E131" s="156"/>
    </row>
    <row r="132" spans="5:5" ht="12.75" customHeight="1">
      <c r="E132" s="156"/>
    </row>
    <row r="133" spans="5:5" ht="12.75" customHeight="1">
      <c r="E133" s="156"/>
    </row>
    <row r="134" spans="5:5" ht="12.75" customHeight="1">
      <c r="E134" s="156"/>
    </row>
    <row r="135" spans="5:5" ht="12.75" customHeight="1">
      <c r="E135" s="156"/>
    </row>
    <row r="136" spans="5:5" ht="12.75" customHeight="1">
      <c r="E136" s="156"/>
    </row>
    <row r="137" spans="5:5" ht="12.75" customHeight="1">
      <c r="E137" s="156"/>
    </row>
    <row r="138" spans="5:5" ht="12.75" customHeight="1">
      <c r="E138" s="156"/>
    </row>
    <row r="139" spans="5:5" ht="12.75" customHeight="1">
      <c r="E139" s="156"/>
    </row>
    <row r="140" spans="5:5" ht="12.75" customHeight="1">
      <c r="E140" s="156"/>
    </row>
    <row r="141" spans="5:5" ht="12.75" customHeight="1">
      <c r="E141" s="156"/>
    </row>
    <row r="142" spans="5:5" ht="12.75" customHeight="1">
      <c r="E142" s="156"/>
    </row>
    <row r="143" spans="5:5" ht="12.75" customHeight="1">
      <c r="E143" s="156"/>
    </row>
    <row r="144" spans="5:5" ht="12.75" customHeight="1">
      <c r="E144" s="156"/>
    </row>
    <row r="145" spans="5:5" ht="12.75" customHeight="1">
      <c r="E145" s="156"/>
    </row>
    <row r="146" spans="5:5" ht="12.75" customHeight="1">
      <c r="E146" s="156"/>
    </row>
    <row r="147" spans="5:5" ht="12.75" customHeight="1">
      <c r="E147" s="156"/>
    </row>
    <row r="148" spans="5:5" ht="12.75" customHeight="1">
      <c r="E148" s="156"/>
    </row>
    <row r="149" spans="5:5" ht="12.75" customHeight="1">
      <c r="E149" s="156"/>
    </row>
    <row r="150" spans="5:5" ht="12.75" customHeight="1">
      <c r="E150" s="156"/>
    </row>
    <row r="151" spans="5:5" ht="12.75" customHeight="1">
      <c r="E151" s="156"/>
    </row>
    <row r="152" spans="5:5" ht="12.75" customHeight="1">
      <c r="E152" s="156"/>
    </row>
    <row r="153" spans="5:5" ht="12.75" customHeight="1">
      <c r="E153" s="156"/>
    </row>
    <row r="154" spans="5:5" ht="12.75" customHeight="1">
      <c r="E154" s="156"/>
    </row>
    <row r="155" spans="5:5" ht="12.75" customHeight="1">
      <c r="E155" s="156"/>
    </row>
    <row r="156" spans="5:5" ht="12.75" customHeight="1">
      <c r="E156" s="156"/>
    </row>
    <row r="157" spans="5:5" ht="12.75" customHeight="1">
      <c r="E157" s="156"/>
    </row>
    <row r="158" spans="5:5" ht="12.75" customHeight="1">
      <c r="E158" s="156"/>
    </row>
    <row r="159" spans="5:5" ht="12.75" customHeight="1">
      <c r="E159" s="156"/>
    </row>
    <row r="160" spans="5:5" ht="12.75" customHeight="1">
      <c r="E160" s="156"/>
    </row>
    <row r="161" spans="5:5" ht="12.75" customHeight="1">
      <c r="E161" s="156"/>
    </row>
    <row r="162" spans="5:5" ht="12.75" customHeight="1">
      <c r="E162" s="156"/>
    </row>
    <row r="163" spans="5:5" ht="12.75" customHeight="1">
      <c r="E163" s="156"/>
    </row>
    <row r="164" spans="5:5" ht="12.75" customHeight="1">
      <c r="E164" s="156"/>
    </row>
    <row r="165" spans="5:5" ht="12.75" customHeight="1">
      <c r="E165" s="156"/>
    </row>
    <row r="166" spans="5:5" ht="12.75" customHeight="1">
      <c r="E166" s="156"/>
    </row>
    <row r="167" spans="5:5" ht="12.75" customHeight="1">
      <c r="E167" s="156"/>
    </row>
    <row r="168" spans="5:5" ht="12.75" customHeight="1">
      <c r="E168" s="156"/>
    </row>
    <row r="169" spans="5:5" ht="12.75" customHeight="1">
      <c r="E169" s="156"/>
    </row>
    <row r="170" spans="5:5" ht="12.75" customHeight="1">
      <c r="E170" s="156"/>
    </row>
    <row r="171" spans="5:5" ht="12.75" customHeight="1">
      <c r="E171" s="156"/>
    </row>
    <row r="172" spans="5:5" ht="12.75" customHeight="1">
      <c r="E172" s="156"/>
    </row>
    <row r="173" spans="5:5" ht="12.75" customHeight="1">
      <c r="E173" s="156"/>
    </row>
    <row r="174" spans="5:5" ht="12.75" customHeight="1">
      <c r="E174" s="156"/>
    </row>
    <row r="175" spans="5:5" ht="12.75" customHeight="1">
      <c r="E175" s="156"/>
    </row>
    <row r="176" spans="5:5" ht="12.75" customHeight="1">
      <c r="E176" s="156"/>
    </row>
    <row r="177" spans="5:5" ht="12.75" customHeight="1">
      <c r="E177" s="156"/>
    </row>
    <row r="178" spans="5:5" ht="12.75" customHeight="1">
      <c r="E178" s="156"/>
    </row>
    <row r="179" spans="5:5" ht="12.75" customHeight="1">
      <c r="E179" s="156"/>
    </row>
    <row r="180" spans="5:5" ht="12.75" customHeight="1">
      <c r="E180" s="156"/>
    </row>
    <row r="181" spans="5:5" ht="12.75" customHeight="1">
      <c r="E181" s="156"/>
    </row>
    <row r="182" spans="5:5" ht="12.75" customHeight="1">
      <c r="E182" s="156"/>
    </row>
    <row r="183" spans="5:5" ht="12.75" customHeight="1">
      <c r="E183" s="156"/>
    </row>
    <row r="184" spans="5:5" ht="12.75" customHeight="1">
      <c r="E184" s="156"/>
    </row>
    <row r="185" spans="5:5" ht="12.75" customHeight="1">
      <c r="E185" s="156"/>
    </row>
    <row r="186" spans="5:5" ht="12.75" customHeight="1">
      <c r="E186" s="156"/>
    </row>
    <row r="187" spans="5:5" ht="12.75" customHeight="1">
      <c r="E187" s="156"/>
    </row>
    <row r="188" spans="5:5" ht="12.75" customHeight="1">
      <c r="E188" s="156"/>
    </row>
    <row r="189" spans="5:5" ht="12.75" customHeight="1">
      <c r="E189" s="156"/>
    </row>
    <row r="190" spans="5:5" ht="12.75" customHeight="1">
      <c r="E190" s="156"/>
    </row>
    <row r="191" spans="5:5" ht="12.75" customHeight="1">
      <c r="E191" s="156"/>
    </row>
    <row r="192" spans="5:5" ht="12.75" customHeight="1">
      <c r="E192" s="156"/>
    </row>
    <row r="193" spans="5:5" ht="12.75" customHeight="1">
      <c r="E193" s="156"/>
    </row>
    <row r="194" spans="5:5" ht="12.75" customHeight="1">
      <c r="E194" s="156"/>
    </row>
    <row r="195" spans="5:5" ht="12.75" customHeight="1">
      <c r="E195" s="156"/>
    </row>
    <row r="196" spans="5:5" ht="12.75" customHeight="1">
      <c r="E196" s="156"/>
    </row>
    <row r="197" spans="5:5" ht="12.75" customHeight="1">
      <c r="E197" s="156"/>
    </row>
    <row r="198" spans="5:5" ht="12.75" customHeight="1">
      <c r="E198" s="156"/>
    </row>
    <row r="199" spans="5:5" ht="12.75" customHeight="1">
      <c r="E199" s="156"/>
    </row>
    <row r="200" spans="5:5" ht="12.75" customHeight="1">
      <c r="E200" s="156"/>
    </row>
    <row r="201" spans="5:5" ht="12.75" customHeight="1">
      <c r="E201" s="156"/>
    </row>
    <row r="202" spans="5:5" ht="12.75" customHeight="1">
      <c r="E202" s="156"/>
    </row>
    <row r="203" spans="5:5" ht="12.75" customHeight="1">
      <c r="E203" s="156"/>
    </row>
    <row r="204" spans="5:5" ht="12.75" customHeight="1">
      <c r="E204" s="156"/>
    </row>
    <row r="205" spans="5:5" ht="12.75" customHeight="1">
      <c r="E205" s="156"/>
    </row>
    <row r="206" spans="5:5" ht="12.75" customHeight="1">
      <c r="E206" s="156"/>
    </row>
    <row r="207" spans="5:5" ht="12.75" customHeight="1">
      <c r="E207" s="156"/>
    </row>
    <row r="208" spans="5:5" ht="12.75" customHeight="1">
      <c r="E208" s="156"/>
    </row>
    <row r="209" spans="5:5" ht="12.75" customHeight="1">
      <c r="E209" s="156"/>
    </row>
    <row r="210" spans="5:5" ht="12.75" customHeight="1">
      <c r="E210" s="156"/>
    </row>
    <row r="211" spans="5:5" ht="12.75" customHeight="1">
      <c r="E211" s="156"/>
    </row>
    <row r="212" spans="5:5" ht="12.75" customHeight="1">
      <c r="E212" s="156"/>
    </row>
    <row r="213" spans="5:5" ht="12.75" customHeight="1">
      <c r="E213" s="156"/>
    </row>
    <row r="214" spans="5:5" ht="12.75" customHeight="1">
      <c r="E214" s="156"/>
    </row>
    <row r="215" spans="5:5" ht="12.75" customHeight="1">
      <c r="E215" s="156"/>
    </row>
    <row r="216" spans="5:5" ht="12.75" customHeight="1">
      <c r="E216" s="156"/>
    </row>
    <row r="217" spans="5:5" ht="12.75" customHeight="1">
      <c r="E217" s="156"/>
    </row>
    <row r="218" spans="5:5" ht="12.75" customHeight="1">
      <c r="E218" s="156"/>
    </row>
    <row r="219" spans="5:5" ht="12.75" customHeight="1">
      <c r="E219" s="156"/>
    </row>
    <row r="220" spans="5:5" ht="12.75" customHeight="1">
      <c r="E220" s="156"/>
    </row>
    <row r="221" spans="5:5" ht="12.75" customHeight="1">
      <c r="E221" s="156"/>
    </row>
    <row r="222" spans="5:5" ht="12.75" customHeight="1">
      <c r="E222" s="156"/>
    </row>
    <row r="223" spans="5:5" ht="12.75" customHeight="1">
      <c r="E223" s="156"/>
    </row>
    <row r="224" spans="5:5" ht="12.75" customHeight="1">
      <c r="E224" s="156"/>
    </row>
    <row r="225" spans="5:5" ht="12.75" customHeight="1">
      <c r="E225" s="156"/>
    </row>
    <row r="226" spans="5:5" ht="12.75" customHeight="1">
      <c r="E226" s="156"/>
    </row>
    <row r="227" spans="5:5" ht="12.75" customHeight="1">
      <c r="E227" s="156"/>
    </row>
    <row r="228" spans="5:5" ht="12.75" customHeight="1">
      <c r="E228" s="156"/>
    </row>
    <row r="229" spans="5:5" ht="12.75" customHeight="1">
      <c r="E229" s="156"/>
    </row>
    <row r="230" spans="5:5" ht="12.75" customHeight="1">
      <c r="E230" s="156"/>
    </row>
    <row r="231" spans="5:5" ht="12.75" customHeight="1">
      <c r="E231" s="156"/>
    </row>
    <row r="232" spans="5:5" ht="12.75" customHeight="1">
      <c r="E232" s="156"/>
    </row>
    <row r="233" spans="5:5" ht="12.75" customHeight="1">
      <c r="E233" s="156"/>
    </row>
    <row r="234" spans="5:5" ht="12.75" customHeight="1">
      <c r="E234" s="156"/>
    </row>
    <row r="235" spans="5:5" ht="12.75" customHeight="1">
      <c r="E235" s="156"/>
    </row>
    <row r="236" spans="5:5" ht="12.75" customHeight="1">
      <c r="E236" s="156"/>
    </row>
    <row r="237" spans="5:5" ht="12.75" customHeight="1">
      <c r="E237" s="156"/>
    </row>
    <row r="238" spans="5:5" ht="12.75" customHeight="1">
      <c r="E238" s="156"/>
    </row>
    <row r="239" spans="5:5" ht="12.75" customHeight="1">
      <c r="E239" s="156"/>
    </row>
    <row r="240" spans="5:5" ht="12.75" customHeight="1">
      <c r="E240" s="156"/>
    </row>
    <row r="241" spans="5:5" ht="12.75" customHeight="1">
      <c r="E241" s="156"/>
    </row>
    <row r="242" spans="5:5" ht="12.75" customHeight="1">
      <c r="E242" s="156"/>
    </row>
    <row r="243" spans="5:5" ht="12.75" customHeight="1">
      <c r="E243" s="156"/>
    </row>
    <row r="244" spans="5:5" ht="12.75" customHeight="1">
      <c r="E244" s="156"/>
    </row>
    <row r="245" spans="5:5" ht="12.75" customHeight="1">
      <c r="E245" s="156"/>
    </row>
    <row r="246" spans="5:5" ht="12.75" customHeight="1">
      <c r="E246" s="156"/>
    </row>
    <row r="247" spans="5:5" ht="12.75" customHeight="1">
      <c r="E247" s="156"/>
    </row>
    <row r="248" spans="5:5" ht="12.75" customHeight="1">
      <c r="E248" s="156"/>
    </row>
    <row r="249" spans="5:5" ht="12.75" customHeight="1">
      <c r="E249" s="156"/>
    </row>
    <row r="250" spans="5:5" ht="12.75" customHeight="1">
      <c r="E250" s="156"/>
    </row>
    <row r="251" spans="5:5" ht="12.75" customHeight="1">
      <c r="E251" s="156"/>
    </row>
    <row r="252" spans="5:5" ht="12.75" customHeight="1">
      <c r="E252" s="156"/>
    </row>
    <row r="253" spans="5:5" ht="12.75" customHeight="1">
      <c r="E253" s="156"/>
    </row>
    <row r="254" spans="5:5" ht="12.75" customHeight="1">
      <c r="E254" s="156"/>
    </row>
    <row r="255" spans="5:5" ht="12.75" customHeight="1">
      <c r="E255" s="156"/>
    </row>
    <row r="256" spans="5:5" ht="12.75" customHeight="1">
      <c r="E256" s="156"/>
    </row>
    <row r="257" spans="5:5" ht="12.75" customHeight="1">
      <c r="E257" s="156"/>
    </row>
    <row r="258" spans="5:5" ht="12.75" customHeight="1">
      <c r="E258" s="156"/>
    </row>
    <row r="259" spans="5:5" ht="12.75" customHeight="1">
      <c r="E259" s="156"/>
    </row>
    <row r="260" spans="5:5" ht="12.75" customHeight="1">
      <c r="E260" s="156"/>
    </row>
    <row r="261" spans="5:5" ht="12.75" customHeight="1">
      <c r="E261" s="156"/>
    </row>
    <row r="262" spans="5:5" ht="12.75" customHeight="1">
      <c r="E262" s="156"/>
    </row>
    <row r="263" spans="5:5" ht="12.75" customHeight="1">
      <c r="E263" s="156"/>
    </row>
    <row r="264" spans="5:5" ht="12.75" customHeight="1">
      <c r="E264" s="156"/>
    </row>
    <row r="265" spans="5:5" ht="12.75" customHeight="1">
      <c r="E265" s="156"/>
    </row>
    <row r="266" spans="5:5" ht="12.75" customHeight="1">
      <c r="E266" s="156"/>
    </row>
    <row r="267" spans="5:5" ht="12.75" customHeight="1">
      <c r="E267" s="156"/>
    </row>
    <row r="268" spans="5:5" ht="12.75" customHeight="1">
      <c r="E268" s="156"/>
    </row>
    <row r="269" spans="5:5" ht="12.75" customHeight="1">
      <c r="E269" s="156"/>
    </row>
    <row r="270" spans="5:5" ht="12.75" customHeight="1">
      <c r="E270" s="156"/>
    </row>
    <row r="271" spans="5:5" ht="12.75" customHeight="1">
      <c r="E271" s="156"/>
    </row>
    <row r="272" spans="5:5" ht="12.75" customHeight="1">
      <c r="E272" s="156"/>
    </row>
    <row r="273" spans="5:5" ht="12.75" customHeight="1">
      <c r="E273" s="156"/>
    </row>
    <row r="274" spans="5:5" ht="12.75" customHeight="1">
      <c r="E274" s="156"/>
    </row>
    <row r="275" spans="5:5" ht="12.75" customHeight="1">
      <c r="E275" s="156"/>
    </row>
    <row r="276" spans="5:5" ht="12.75" customHeight="1">
      <c r="E276" s="156"/>
    </row>
    <row r="277" spans="5:5" ht="12.75" customHeight="1">
      <c r="E277" s="156"/>
    </row>
    <row r="278" spans="5:5" ht="12.75" customHeight="1">
      <c r="E278" s="156"/>
    </row>
    <row r="279" spans="5:5" ht="12.75" customHeight="1">
      <c r="E279" s="156"/>
    </row>
    <row r="280" spans="5:5" ht="12.75" customHeight="1">
      <c r="E280" s="156"/>
    </row>
    <row r="281" spans="5:5" ht="12.75" customHeight="1">
      <c r="E281" s="156"/>
    </row>
    <row r="282" spans="5:5" ht="12.75" customHeight="1">
      <c r="E282" s="156"/>
    </row>
    <row r="283" spans="5:5" ht="12.75" customHeight="1">
      <c r="E283" s="156"/>
    </row>
    <row r="284" spans="5:5" ht="12.75" customHeight="1">
      <c r="E284" s="156"/>
    </row>
    <row r="285" spans="5:5" ht="12.75" customHeight="1">
      <c r="E285" s="156"/>
    </row>
    <row r="286" spans="5:5" ht="12.75" customHeight="1">
      <c r="E286" s="156"/>
    </row>
    <row r="287" spans="5:5" ht="12.75" customHeight="1">
      <c r="E287" s="156"/>
    </row>
    <row r="288" spans="5:5" ht="12.75" customHeight="1">
      <c r="E288" s="156"/>
    </row>
    <row r="289" spans="5:5" ht="12.75" customHeight="1">
      <c r="E289" s="156"/>
    </row>
    <row r="290" spans="5:5" ht="12.75" customHeight="1">
      <c r="E290" s="156"/>
    </row>
    <row r="291" spans="5:5" ht="12.75" customHeight="1">
      <c r="E291" s="156"/>
    </row>
    <row r="292" spans="5:5" ht="12.75" customHeight="1">
      <c r="E292" s="156"/>
    </row>
    <row r="293" spans="5:5" ht="12.75" customHeight="1">
      <c r="E293" s="156"/>
    </row>
    <row r="294" spans="5:5" ht="12.75" customHeight="1">
      <c r="E294" s="156"/>
    </row>
    <row r="295" spans="5:5" ht="12.75" customHeight="1">
      <c r="E295" s="156"/>
    </row>
    <row r="296" spans="5:5" ht="12.75" customHeight="1">
      <c r="E296" s="156"/>
    </row>
    <row r="297" spans="5:5" ht="12.75" customHeight="1">
      <c r="E297" s="156"/>
    </row>
    <row r="298" spans="5:5" ht="12.75" customHeight="1">
      <c r="E298" s="156"/>
    </row>
    <row r="299" spans="5:5" ht="12.75" customHeight="1">
      <c r="E299" s="156"/>
    </row>
    <row r="300" spans="5:5" ht="12.75" customHeight="1">
      <c r="E300" s="156"/>
    </row>
    <row r="301" spans="5:5" ht="12.75" customHeight="1">
      <c r="E301" s="156"/>
    </row>
    <row r="302" spans="5:5" ht="12.75" customHeight="1">
      <c r="E302" s="156"/>
    </row>
    <row r="303" spans="5:5" ht="12.75" customHeight="1">
      <c r="E303" s="156"/>
    </row>
    <row r="304" spans="5:5" ht="12.75" customHeight="1">
      <c r="E304" s="156"/>
    </row>
    <row r="305" spans="5:5" ht="12.75" customHeight="1">
      <c r="E305" s="156"/>
    </row>
    <row r="306" spans="5:5" ht="12.75" customHeight="1">
      <c r="E306" s="156"/>
    </row>
    <row r="307" spans="5:5" ht="12.75" customHeight="1">
      <c r="E307" s="156"/>
    </row>
    <row r="308" spans="5:5" ht="12.75" customHeight="1">
      <c r="E308" s="156"/>
    </row>
    <row r="309" spans="5:5" ht="12.75" customHeight="1">
      <c r="E309" s="156"/>
    </row>
    <row r="310" spans="5:5" ht="12.75" customHeight="1">
      <c r="E310" s="156"/>
    </row>
    <row r="311" spans="5:5" ht="12.75" customHeight="1">
      <c r="E311" s="156"/>
    </row>
    <row r="312" spans="5:5" ht="12.75" customHeight="1">
      <c r="E312" s="156"/>
    </row>
    <row r="313" spans="5:5" ht="12.75" customHeight="1">
      <c r="E313" s="156"/>
    </row>
    <row r="314" spans="5:5" ht="12.75" customHeight="1">
      <c r="E314" s="156"/>
    </row>
    <row r="315" spans="5:5" ht="12.75" customHeight="1">
      <c r="E315" s="156"/>
    </row>
    <row r="316" spans="5:5" ht="12.75" customHeight="1">
      <c r="E316" s="156"/>
    </row>
    <row r="317" spans="5:5" ht="12.75" customHeight="1">
      <c r="E317" s="156"/>
    </row>
    <row r="318" spans="5:5" ht="12.75" customHeight="1">
      <c r="E318" s="156"/>
    </row>
    <row r="319" spans="5:5" ht="12.75" customHeight="1">
      <c r="E319" s="156"/>
    </row>
    <row r="320" spans="5:5" ht="12.75" customHeight="1">
      <c r="E320" s="156"/>
    </row>
    <row r="321" spans="5:5" ht="12.75" customHeight="1">
      <c r="E321" s="156"/>
    </row>
    <row r="322" spans="5:5" ht="12.75" customHeight="1">
      <c r="E322" s="156"/>
    </row>
    <row r="323" spans="5:5" ht="12.75" customHeight="1">
      <c r="E323" s="156"/>
    </row>
    <row r="324" spans="5:5" ht="12.75" customHeight="1">
      <c r="E324" s="156"/>
    </row>
    <row r="325" spans="5:5" ht="12.75" customHeight="1">
      <c r="E325" s="156"/>
    </row>
    <row r="326" spans="5:5" ht="12.75" customHeight="1">
      <c r="E326" s="156"/>
    </row>
    <row r="327" spans="5:5" ht="12.75" customHeight="1">
      <c r="E327" s="156"/>
    </row>
    <row r="328" spans="5:5" ht="12.75" customHeight="1">
      <c r="E328" s="156"/>
    </row>
    <row r="329" spans="5:5" ht="12.75" customHeight="1">
      <c r="E329" s="156"/>
    </row>
    <row r="330" spans="5:5" ht="12.75" customHeight="1">
      <c r="E330" s="156"/>
    </row>
    <row r="331" spans="5:5" ht="12.75" customHeight="1">
      <c r="E331" s="156"/>
    </row>
    <row r="332" spans="5:5" ht="12.75" customHeight="1">
      <c r="E332" s="156"/>
    </row>
    <row r="333" spans="5:5" ht="12.75" customHeight="1">
      <c r="E333" s="156"/>
    </row>
    <row r="334" spans="5:5" ht="12.75" customHeight="1">
      <c r="E334" s="156"/>
    </row>
    <row r="335" spans="5:5" ht="12.75" customHeight="1">
      <c r="E335" s="156"/>
    </row>
    <row r="336" spans="5:5" ht="12.75" customHeight="1">
      <c r="E336" s="156"/>
    </row>
    <row r="337" spans="5:5" ht="12.75" customHeight="1">
      <c r="E337" s="156"/>
    </row>
    <row r="338" spans="5:5" ht="12.75" customHeight="1">
      <c r="E338" s="156"/>
    </row>
    <row r="339" spans="5:5" ht="12.75" customHeight="1">
      <c r="E339" s="156"/>
    </row>
    <row r="340" spans="5:5" ht="12.75" customHeight="1">
      <c r="E340" s="156"/>
    </row>
    <row r="341" spans="5:5" ht="12.75" customHeight="1">
      <c r="E341" s="156"/>
    </row>
    <row r="342" spans="5:5" ht="12.75" customHeight="1">
      <c r="E342" s="156"/>
    </row>
    <row r="343" spans="5:5" ht="12.75" customHeight="1">
      <c r="E343" s="156"/>
    </row>
    <row r="344" spans="5:5" ht="12.75" customHeight="1">
      <c r="E344" s="156"/>
    </row>
    <row r="345" spans="5:5" ht="12.75" customHeight="1">
      <c r="E345" s="156"/>
    </row>
    <row r="346" spans="5:5" ht="12.75" customHeight="1">
      <c r="E346" s="156"/>
    </row>
    <row r="347" spans="5:5" ht="12.75" customHeight="1">
      <c r="E347" s="156"/>
    </row>
    <row r="348" spans="5:5" ht="12.75" customHeight="1">
      <c r="E348" s="156"/>
    </row>
    <row r="349" spans="5:5" ht="12.75" customHeight="1">
      <c r="E349" s="156"/>
    </row>
    <row r="350" spans="5:5" ht="12.75" customHeight="1">
      <c r="E350" s="156"/>
    </row>
    <row r="351" spans="5:5" ht="12.75" customHeight="1">
      <c r="E351" s="156"/>
    </row>
    <row r="352" spans="5:5" ht="12.75" customHeight="1">
      <c r="E352" s="156"/>
    </row>
    <row r="353" spans="5:5" ht="12.75" customHeight="1">
      <c r="E353" s="156"/>
    </row>
    <row r="354" spans="5:5" ht="12.75" customHeight="1">
      <c r="E354" s="156"/>
    </row>
    <row r="355" spans="5:5" ht="12.75" customHeight="1">
      <c r="E355" s="156"/>
    </row>
    <row r="356" spans="5:5" ht="12.75" customHeight="1">
      <c r="E356" s="156"/>
    </row>
    <row r="357" spans="5:5" ht="12.75" customHeight="1">
      <c r="E357" s="156"/>
    </row>
    <row r="358" spans="5:5" ht="12.75" customHeight="1">
      <c r="E358" s="156"/>
    </row>
    <row r="359" spans="5:5" ht="12.75" customHeight="1">
      <c r="E359" s="156"/>
    </row>
    <row r="360" spans="5:5" ht="12.75" customHeight="1">
      <c r="E360" s="156"/>
    </row>
    <row r="361" spans="5:5" ht="12.75" customHeight="1">
      <c r="E361" s="156"/>
    </row>
    <row r="362" spans="5:5" ht="12.75" customHeight="1">
      <c r="E362" s="156"/>
    </row>
    <row r="363" spans="5:5" ht="12.75" customHeight="1">
      <c r="E363" s="156"/>
    </row>
    <row r="364" spans="5:5" ht="12.75" customHeight="1">
      <c r="E364" s="156"/>
    </row>
    <row r="365" spans="5:5" ht="12.75" customHeight="1">
      <c r="E365" s="156"/>
    </row>
    <row r="366" spans="5:5" ht="12.75" customHeight="1">
      <c r="E366" s="156"/>
    </row>
    <row r="367" spans="5:5" ht="12.75" customHeight="1">
      <c r="E367" s="156"/>
    </row>
    <row r="368" spans="5:5" ht="12.75" customHeight="1">
      <c r="E368" s="156"/>
    </row>
    <row r="369" spans="5:5" ht="12.75" customHeight="1">
      <c r="E369" s="156"/>
    </row>
    <row r="370" spans="5:5" ht="12.75" customHeight="1">
      <c r="E370" s="156"/>
    </row>
    <row r="371" spans="5:5" ht="12.75" customHeight="1">
      <c r="E371" s="156"/>
    </row>
    <row r="372" spans="5:5" ht="12.75" customHeight="1">
      <c r="E372" s="156"/>
    </row>
    <row r="373" spans="5:5" ht="12.75" customHeight="1">
      <c r="E373" s="156"/>
    </row>
    <row r="374" spans="5:5" ht="12.75" customHeight="1">
      <c r="E374" s="156"/>
    </row>
    <row r="375" spans="5:5" ht="12.75" customHeight="1">
      <c r="E375" s="156"/>
    </row>
    <row r="376" spans="5:5" ht="12.75" customHeight="1">
      <c r="E376" s="156"/>
    </row>
    <row r="377" spans="5:5" ht="12.75" customHeight="1">
      <c r="E377" s="156"/>
    </row>
    <row r="378" spans="5:5" ht="12.75" customHeight="1">
      <c r="E378" s="156"/>
    </row>
    <row r="379" spans="5:5" ht="12.75" customHeight="1">
      <c r="E379" s="156"/>
    </row>
    <row r="380" spans="5:5" ht="12.75" customHeight="1">
      <c r="E380" s="156"/>
    </row>
    <row r="381" spans="5:5" ht="12.75" customHeight="1">
      <c r="E381" s="156"/>
    </row>
    <row r="382" spans="5:5" ht="12.75" customHeight="1">
      <c r="E382" s="156"/>
    </row>
    <row r="383" spans="5:5" ht="12.75" customHeight="1">
      <c r="E383" s="156"/>
    </row>
    <row r="384" spans="5:5" ht="12.75" customHeight="1">
      <c r="E384" s="156"/>
    </row>
    <row r="385" spans="5:5" ht="12.75" customHeight="1">
      <c r="E385" s="156"/>
    </row>
    <row r="386" spans="5:5" ht="12.75" customHeight="1">
      <c r="E386" s="156"/>
    </row>
    <row r="387" spans="5:5" ht="12.75" customHeight="1">
      <c r="E387" s="156"/>
    </row>
    <row r="388" spans="5:5" ht="12.75" customHeight="1">
      <c r="E388" s="156"/>
    </row>
    <row r="389" spans="5:5" ht="12.75" customHeight="1">
      <c r="E389" s="156"/>
    </row>
    <row r="390" spans="5:5" ht="12.75" customHeight="1">
      <c r="E390" s="156"/>
    </row>
    <row r="391" spans="5:5" ht="12.75" customHeight="1">
      <c r="E391" s="156"/>
    </row>
    <row r="392" spans="5:5" ht="12.75" customHeight="1">
      <c r="E392" s="156"/>
    </row>
    <row r="393" spans="5:5" ht="12.75" customHeight="1">
      <c r="E393" s="156"/>
    </row>
    <row r="394" spans="5:5" ht="12.75" customHeight="1">
      <c r="E394" s="156"/>
    </row>
    <row r="395" spans="5:5" ht="12.75" customHeight="1">
      <c r="E395" s="156"/>
    </row>
    <row r="396" spans="5:5" ht="12.75" customHeight="1">
      <c r="E396" s="156"/>
    </row>
    <row r="397" spans="5:5" ht="12.75" customHeight="1">
      <c r="E397" s="156"/>
    </row>
    <row r="398" spans="5:5" ht="12.75" customHeight="1">
      <c r="E398" s="156"/>
    </row>
    <row r="399" spans="5:5" ht="12.75" customHeight="1">
      <c r="E399" s="156"/>
    </row>
    <row r="400" spans="5:5" ht="12.75" customHeight="1">
      <c r="E400" s="156"/>
    </row>
    <row r="401" spans="5:5" ht="12.75" customHeight="1">
      <c r="E401" s="156"/>
    </row>
    <row r="402" spans="5:5" ht="12.75" customHeight="1">
      <c r="E402" s="156"/>
    </row>
    <row r="403" spans="5:5" ht="12.75" customHeight="1">
      <c r="E403" s="156"/>
    </row>
    <row r="404" spans="5:5" ht="12.75" customHeight="1">
      <c r="E404" s="156"/>
    </row>
    <row r="405" spans="5:5" ht="12.75" customHeight="1">
      <c r="E405" s="156"/>
    </row>
    <row r="406" spans="5:5" ht="12.75" customHeight="1">
      <c r="E406" s="156"/>
    </row>
    <row r="407" spans="5:5" ht="12.75" customHeight="1">
      <c r="E407" s="156"/>
    </row>
    <row r="408" spans="5:5" ht="12.75" customHeight="1">
      <c r="E408" s="156"/>
    </row>
    <row r="409" spans="5:5" ht="12.75" customHeight="1">
      <c r="E409" s="156"/>
    </row>
    <row r="410" spans="5:5" ht="12.75" customHeight="1">
      <c r="E410" s="156"/>
    </row>
    <row r="411" spans="5:5" ht="12.75" customHeight="1">
      <c r="E411" s="156"/>
    </row>
    <row r="412" spans="5:5" ht="12.75" customHeight="1">
      <c r="E412" s="156"/>
    </row>
    <row r="413" spans="5:5" ht="12.75" customHeight="1">
      <c r="E413" s="156"/>
    </row>
    <row r="414" spans="5:5" ht="12.75" customHeight="1">
      <c r="E414" s="156"/>
    </row>
    <row r="415" spans="5:5" ht="12.75" customHeight="1">
      <c r="E415" s="156"/>
    </row>
    <row r="416" spans="5:5" ht="12.75" customHeight="1">
      <c r="E416" s="156"/>
    </row>
    <row r="417" spans="5:5" ht="12.75" customHeight="1">
      <c r="E417" s="156"/>
    </row>
    <row r="418" spans="5:5" ht="12.75" customHeight="1">
      <c r="E418" s="156"/>
    </row>
    <row r="419" spans="5:5" ht="12.75" customHeight="1">
      <c r="E419" s="156"/>
    </row>
    <row r="420" spans="5:5" ht="12.75" customHeight="1">
      <c r="E420" s="156"/>
    </row>
    <row r="421" spans="5:5" ht="12.75" customHeight="1">
      <c r="E421" s="156"/>
    </row>
    <row r="422" spans="5:5" ht="12.75" customHeight="1">
      <c r="E422" s="156"/>
    </row>
    <row r="423" spans="5:5" ht="12.75" customHeight="1">
      <c r="E423" s="156"/>
    </row>
    <row r="424" spans="5:5" ht="12.75" customHeight="1">
      <c r="E424" s="156"/>
    </row>
    <row r="425" spans="5:5" ht="12.75" customHeight="1">
      <c r="E425" s="156"/>
    </row>
    <row r="426" spans="5:5" ht="12.75" customHeight="1">
      <c r="E426" s="156"/>
    </row>
    <row r="427" spans="5:5" ht="12.75" customHeight="1">
      <c r="E427" s="156"/>
    </row>
    <row r="428" spans="5:5" ht="12.75" customHeight="1">
      <c r="E428" s="156"/>
    </row>
    <row r="429" spans="5:5" ht="12.75" customHeight="1">
      <c r="E429" s="156"/>
    </row>
    <row r="430" spans="5:5" ht="12.75" customHeight="1">
      <c r="E430" s="156"/>
    </row>
    <row r="431" spans="5:5" ht="12.75" customHeight="1">
      <c r="E431" s="156"/>
    </row>
    <row r="432" spans="5:5" ht="12.75" customHeight="1">
      <c r="E432" s="156"/>
    </row>
    <row r="433" spans="5:5" ht="12.75" customHeight="1">
      <c r="E433" s="156"/>
    </row>
    <row r="434" spans="5:5" ht="12.75" customHeight="1">
      <c r="E434" s="156"/>
    </row>
    <row r="435" spans="5:5" ht="12.75" customHeight="1">
      <c r="E435" s="156"/>
    </row>
    <row r="436" spans="5:5" ht="12.75" customHeight="1">
      <c r="E436" s="156"/>
    </row>
    <row r="437" spans="5:5" ht="12.75" customHeight="1">
      <c r="E437" s="156"/>
    </row>
    <row r="438" spans="5:5" ht="12.75" customHeight="1">
      <c r="E438" s="156"/>
    </row>
    <row r="439" spans="5:5" ht="12.75" customHeight="1">
      <c r="E439" s="156"/>
    </row>
    <row r="440" spans="5:5" ht="12.75" customHeight="1">
      <c r="E440" s="156"/>
    </row>
    <row r="441" spans="5:5" ht="12.75" customHeight="1">
      <c r="E441" s="156"/>
    </row>
    <row r="442" spans="5:5" ht="12.75" customHeight="1">
      <c r="E442" s="156"/>
    </row>
    <row r="443" spans="5:5" ht="12.75" customHeight="1">
      <c r="E443" s="156"/>
    </row>
    <row r="444" spans="5:5" ht="12.75" customHeight="1">
      <c r="E444" s="156"/>
    </row>
    <row r="445" spans="5:5" ht="12.75" customHeight="1">
      <c r="E445" s="156"/>
    </row>
    <row r="446" spans="5:5" ht="12.75" customHeight="1">
      <c r="E446" s="156"/>
    </row>
    <row r="447" spans="5:5" ht="12.75" customHeight="1">
      <c r="E447" s="156"/>
    </row>
    <row r="448" spans="5:5" ht="12.75" customHeight="1">
      <c r="E448" s="156"/>
    </row>
    <row r="449" spans="5:5" ht="12.75" customHeight="1">
      <c r="E449" s="156"/>
    </row>
    <row r="450" spans="5:5" ht="12.75" customHeight="1">
      <c r="E450" s="156"/>
    </row>
    <row r="451" spans="5:5" ht="12.75" customHeight="1">
      <c r="E451" s="156"/>
    </row>
    <row r="452" spans="5:5" ht="12.75" customHeight="1">
      <c r="E452" s="156"/>
    </row>
    <row r="453" spans="5:5" ht="12.75" customHeight="1">
      <c r="E453" s="156"/>
    </row>
    <row r="454" spans="5:5" ht="12.75" customHeight="1">
      <c r="E454" s="156"/>
    </row>
    <row r="455" spans="5:5" ht="12.75" customHeight="1">
      <c r="E455" s="156"/>
    </row>
    <row r="456" spans="5:5" ht="12.75" customHeight="1">
      <c r="E456" s="156"/>
    </row>
    <row r="457" spans="5:5" ht="12.75" customHeight="1">
      <c r="E457" s="156"/>
    </row>
    <row r="458" spans="5:5" ht="12.75" customHeight="1">
      <c r="E458" s="156"/>
    </row>
    <row r="459" spans="5:5" ht="12.75" customHeight="1">
      <c r="E459" s="156"/>
    </row>
    <row r="460" spans="5:5" ht="12.75" customHeight="1">
      <c r="E460" s="156"/>
    </row>
    <row r="461" spans="5:5" ht="12.75" customHeight="1">
      <c r="E461" s="156"/>
    </row>
    <row r="462" spans="5:5" ht="12.75" customHeight="1">
      <c r="E462" s="156"/>
    </row>
    <row r="463" spans="5:5" ht="12.75" customHeight="1">
      <c r="E463" s="156"/>
    </row>
    <row r="464" spans="5:5" ht="12.75" customHeight="1">
      <c r="E464" s="156"/>
    </row>
    <row r="465" spans="5:5" ht="12.75" customHeight="1">
      <c r="E465" s="156"/>
    </row>
    <row r="466" spans="5:5" ht="12.75" customHeight="1">
      <c r="E466" s="156"/>
    </row>
    <row r="467" spans="5:5" ht="12.75" customHeight="1">
      <c r="E467" s="156"/>
    </row>
    <row r="468" spans="5:5" ht="12.75" customHeight="1">
      <c r="E468" s="156"/>
    </row>
    <row r="469" spans="5:5" ht="12.75" customHeight="1">
      <c r="E469" s="156"/>
    </row>
    <row r="470" spans="5:5" ht="12.75" customHeight="1">
      <c r="E470" s="156"/>
    </row>
    <row r="471" spans="5:5" ht="12.75" customHeight="1">
      <c r="E471" s="156"/>
    </row>
    <row r="472" spans="5:5" ht="12.75" customHeight="1">
      <c r="E472" s="156"/>
    </row>
    <row r="473" spans="5:5" ht="12.75" customHeight="1">
      <c r="E473" s="156"/>
    </row>
    <row r="474" spans="5:5" ht="12.75" customHeight="1">
      <c r="E474" s="156"/>
    </row>
    <row r="475" spans="5:5" ht="12.75" customHeight="1">
      <c r="E475" s="156"/>
    </row>
    <row r="476" spans="5:5" ht="12.75" customHeight="1">
      <c r="E476" s="156"/>
    </row>
    <row r="477" spans="5:5" ht="12.75" customHeight="1">
      <c r="E477" s="156"/>
    </row>
    <row r="478" spans="5:5" ht="12.75" customHeight="1">
      <c r="E478" s="156"/>
    </row>
    <row r="479" spans="5:5" ht="12.75" customHeight="1">
      <c r="E479" s="156"/>
    </row>
    <row r="480" spans="5:5" ht="12.75" customHeight="1">
      <c r="E480" s="156"/>
    </row>
    <row r="481" spans="5:5" ht="12.75" customHeight="1">
      <c r="E481" s="156"/>
    </row>
    <row r="482" spans="5:5" ht="12.75" customHeight="1">
      <c r="E482" s="156"/>
    </row>
    <row r="483" spans="5:5" ht="12.75" customHeight="1">
      <c r="E483" s="156"/>
    </row>
    <row r="484" spans="5:5" ht="12.75" customHeight="1">
      <c r="E484" s="156"/>
    </row>
    <row r="485" spans="5:5" ht="12.75" customHeight="1">
      <c r="E485" s="156"/>
    </row>
    <row r="486" spans="5:5" ht="12.75" customHeight="1">
      <c r="E486" s="156"/>
    </row>
    <row r="487" spans="5:5" ht="12.75" customHeight="1">
      <c r="E487" s="156"/>
    </row>
    <row r="488" spans="5:5" ht="12.75" customHeight="1">
      <c r="E488" s="156"/>
    </row>
    <row r="489" spans="5:5" ht="12.75" customHeight="1">
      <c r="E489" s="156"/>
    </row>
    <row r="490" spans="5:5" ht="12.75" customHeight="1">
      <c r="E490" s="156"/>
    </row>
    <row r="491" spans="5:5" ht="12.75" customHeight="1">
      <c r="E491" s="156"/>
    </row>
    <row r="492" spans="5:5" ht="12.75" customHeight="1">
      <c r="E492" s="156"/>
    </row>
    <row r="493" spans="5:5" ht="12.75" customHeight="1">
      <c r="E493" s="156"/>
    </row>
    <row r="494" spans="5:5" ht="12.75" customHeight="1">
      <c r="E494" s="156"/>
    </row>
    <row r="495" spans="5:5" ht="12.75" customHeight="1">
      <c r="E495" s="156"/>
    </row>
    <row r="496" spans="5:5" ht="12.75" customHeight="1">
      <c r="E496" s="156"/>
    </row>
    <row r="497" spans="5:5" ht="12.75" customHeight="1">
      <c r="E497" s="156"/>
    </row>
    <row r="498" spans="5:5" ht="12.75" customHeight="1">
      <c r="E498" s="156"/>
    </row>
    <row r="499" spans="5:5" ht="12.75" customHeight="1">
      <c r="E499" s="156"/>
    </row>
    <row r="500" spans="5:5" ht="12.75" customHeight="1">
      <c r="E500" s="156"/>
    </row>
    <row r="501" spans="5:5" ht="12.75" customHeight="1">
      <c r="E501" s="156"/>
    </row>
    <row r="502" spans="5:5" ht="12.75" customHeight="1">
      <c r="E502" s="156"/>
    </row>
    <row r="503" spans="5:5" ht="12.75" customHeight="1">
      <c r="E503" s="156"/>
    </row>
    <row r="504" spans="5:5" ht="12.75" customHeight="1">
      <c r="E504" s="156"/>
    </row>
    <row r="505" spans="5:5" ht="12.75" customHeight="1">
      <c r="E505" s="156"/>
    </row>
    <row r="506" spans="5:5" ht="12.75" customHeight="1">
      <c r="E506" s="156"/>
    </row>
    <row r="507" spans="5:5" ht="12.75" customHeight="1">
      <c r="E507" s="156"/>
    </row>
    <row r="508" spans="5:5" ht="12.75" customHeight="1">
      <c r="E508" s="156"/>
    </row>
    <row r="509" spans="5:5" ht="12.75" customHeight="1">
      <c r="E509" s="156"/>
    </row>
    <row r="510" spans="5:5" ht="12.75" customHeight="1">
      <c r="E510" s="156"/>
    </row>
    <row r="511" spans="5:5" ht="12.75" customHeight="1">
      <c r="E511" s="156"/>
    </row>
    <row r="512" spans="5:5" ht="12.75" customHeight="1">
      <c r="E512" s="156"/>
    </row>
    <row r="513" spans="5:5" ht="12.75" customHeight="1">
      <c r="E513" s="156"/>
    </row>
    <row r="514" spans="5:5" ht="12.75" customHeight="1">
      <c r="E514" s="156"/>
    </row>
    <row r="515" spans="5:5" ht="12.75" customHeight="1">
      <c r="E515" s="156"/>
    </row>
    <row r="516" spans="5:5" ht="12.75" customHeight="1">
      <c r="E516" s="156"/>
    </row>
    <row r="517" spans="5:5" ht="12.75" customHeight="1">
      <c r="E517" s="156"/>
    </row>
    <row r="518" spans="5:5" ht="12.75" customHeight="1">
      <c r="E518" s="156"/>
    </row>
    <row r="519" spans="5:5" ht="12.75" customHeight="1">
      <c r="E519" s="156"/>
    </row>
    <row r="520" spans="5:5" ht="12.75" customHeight="1">
      <c r="E520" s="156"/>
    </row>
    <row r="521" spans="5:5" ht="12.75" customHeight="1">
      <c r="E521" s="156"/>
    </row>
    <row r="522" spans="5:5" ht="12.75" customHeight="1">
      <c r="E522" s="156"/>
    </row>
    <row r="523" spans="5:5" ht="12.75" customHeight="1">
      <c r="E523" s="156"/>
    </row>
    <row r="524" spans="5:5" ht="12.75" customHeight="1">
      <c r="E524" s="156"/>
    </row>
    <row r="525" spans="5:5" ht="12.75" customHeight="1">
      <c r="E525" s="156"/>
    </row>
    <row r="526" spans="5:5" ht="12.75" customHeight="1">
      <c r="E526" s="156"/>
    </row>
    <row r="527" spans="5:5" ht="12.75" customHeight="1">
      <c r="E527" s="156"/>
    </row>
    <row r="528" spans="5:5" ht="12.75" customHeight="1">
      <c r="E528" s="156"/>
    </row>
    <row r="529" spans="5:5" ht="12.75" customHeight="1">
      <c r="E529" s="156"/>
    </row>
    <row r="530" spans="5:5" ht="12.75" customHeight="1">
      <c r="E530" s="156"/>
    </row>
    <row r="531" spans="5:5" ht="12.75" customHeight="1">
      <c r="E531" s="156"/>
    </row>
    <row r="532" spans="5:5" ht="12.75" customHeight="1">
      <c r="E532" s="156"/>
    </row>
    <row r="533" spans="5:5" ht="12.75" customHeight="1">
      <c r="E533" s="156"/>
    </row>
    <row r="534" spans="5:5" ht="12.75" customHeight="1">
      <c r="E534" s="156"/>
    </row>
    <row r="535" spans="5:5" ht="12.75" customHeight="1">
      <c r="E535" s="156"/>
    </row>
    <row r="536" spans="5:5" ht="12.75" customHeight="1">
      <c r="E536" s="156"/>
    </row>
    <row r="537" spans="5:5" ht="12.75" customHeight="1">
      <c r="E537" s="156"/>
    </row>
    <row r="538" spans="5:5" ht="12.75" customHeight="1">
      <c r="E538" s="156"/>
    </row>
    <row r="539" spans="5:5" ht="12.75" customHeight="1">
      <c r="E539" s="156"/>
    </row>
    <row r="540" spans="5:5" ht="12.75" customHeight="1">
      <c r="E540" s="156"/>
    </row>
    <row r="541" spans="5:5" ht="12.75" customHeight="1">
      <c r="E541" s="156"/>
    </row>
    <row r="542" spans="5:5" ht="12.75" customHeight="1">
      <c r="E542" s="156"/>
    </row>
    <row r="543" spans="5:5" ht="12.75" customHeight="1">
      <c r="E543" s="156"/>
    </row>
    <row r="544" spans="5:5" ht="12.75" customHeight="1">
      <c r="E544" s="156"/>
    </row>
    <row r="545" spans="5:5" ht="12.75" customHeight="1">
      <c r="E545" s="156"/>
    </row>
    <row r="546" spans="5:5" ht="12.75" customHeight="1">
      <c r="E546" s="156"/>
    </row>
    <row r="547" spans="5:5" ht="12.75" customHeight="1">
      <c r="E547" s="156"/>
    </row>
    <row r="548" spans="5:5" ht="12.75" customHeight="1">
      <c r="E548" s="156"/>
    </row>
    <row r="549" spans="5:5" ht="12.75" customHeight="1">
      <c r="E549" s="156"/>
    </row>
    <row r="550" spans="5:5" ht="12.75" customHeight="1">
      <c r="E550" s="156"/>
    </row>
    <row r="551" spans="5:5" ht="12.75" customHeight="1">
      <c r="E551" s="156"/>
    </row>
    <row r="552" spans="5:5" ht="12.75" customHeight="1">
      <c r="E552" s="156"/>
    </row>
    <row r="553" spans="5:5" ht="12.75" customHeight="1">
      <c r="E553" s="156"/>
    </row>
    <row r="554" spans="5:5" ht="12.75" customHeight="1">
      <c r="E554" s="156"/>
    </row>
    <row r="555" spans="5:5" ht="12.75" customHeight="1">
      <c r="E555" s="156"/>
    </row>
    <row r="556" spans="5:5" ht="12.75" customHeight="1">
      <c r="E556" s="156"/>
    </row>
    <row r="557" spans="5:5" ht="12.75" customHeight="1">
      <c r="E557" s="156"/>
    </row>
    <row r="558" spans="5:5" ht="12.75" customHeight="1">
      <c r="E558" s="156"/>
    </row>
    <row r="559" spans="5:5" ht="12.75" customHeight="1">
      <c r="E559" s="156"/>
    </row>
    <row r="560" spans="5:5" ht="12.75" customHeight="1">
      <c r="E560" s="156"/>
    </row>
    <row r="561" spans="5:5" ht="12.75" customHeight="1">
      <c r="E561" s="156"/>
    </row>
    <row r="562" spans="5:5" ht="12.75" customHeight="1">
      <c r="E562" s="156"/>
    </row>
    <row r="563" spans="5:5" ht="12.75" customHeight="1">
      <c r="E563" s="156"/>
    </row>
    <row r="564" spans="5:5" ht="12.75" customHeight="1">
      <c r="E564" s="156"/>
    </row>
    <row r="565" spans="5:5" ht="12.75" customHeight="1">
      <c r="E565" s="156"/>
    </row>
    <row r="566" spans="5:5" ht="12.75" customHeight="1">
      <c r="E566" s="156"/>
    </row>
    <row r="567" spans="5:5" ht="12.75" customHeight="1">
      <c r="E567" s="156"/>
    </row>
    <row r="568" spans="5:5" ht="12.75" customHeight="1">
      <c r="E568" s="156"/>
    </row>
    <row r="569" spans="5:5" ht="12.75" customHeight="1">
      <c r="E569" s="156"/>
    </row>
    <row r="570" spans="5:5" ht="12.75" customHeight="1">
      <c r="E570" s="156"/>
    </row>
    <row r="571" spans="5:5" ht="12.75" customHeight="1">
      <c r="E571" s="156"/>
    </row>
    <row r="572" spans="5:5" ht="12.75" customHeight="1">
      <c r="E572" s="156"/>
    </row>
    <row r="573" spans="5:5" ht="12.75" customHeight="1">
      <c r="E573" s="156"/>
    </row>
    <row r="574" spans="5:5" ht="12.75" customHeight="1">
      <c r="E574" s="156"/>
    </row>
    <row r="575" spans="5:5" ht="12.75" customHeight="1">
      <c r="E575" s="156"/>
    </row>
    <row r="576" spans="5:5" ht="12.75" customHeight="1">
      <c r="E576" s="156"/>
    </row>
    <row r="577" spans="5:5" ht="12.75" customHeight="1">
      <c r="E577" s="156"/>
    </row>
    <row r="578" spans="5:5" ht="12.75" customHeight="1">
      <c r="E578" s="156"/>
    </row>
    <row r="579" spans="5:5" ht="12.75" customHeight="1">
      <c r="E579" s="156"/>
    </row>
    <row r="580" spans="5:5" ht="12.75" customHeight="1">
      <c r="E580" s="156"/>
    </row>
    <row r="581" spans="5:5" ht="12.75" customHeight="1">
      <c r="E581" s="156"/>
    </row>
    <row r="582" spans="5:5" ht="12.75" customHeight="1">
      <c r="E582" s="156"/>
    </row>
    <row r="583" spans="5:5" ht="12.75" customHeight="1">
      <c r="E583" s="156"/>
    </row>
    <row r="584" spans="5:5" ht="12.75" customHeight="1">
      <c r="E584" s="156"/>
    </row>
    <row r="585" spans="5:5" ht="12.75" customHeight="1">
      <c r="E585" s="156"/>
    </row>
    <row r="586" spans="5:5" ht="12.75" customHeight="1">
      <c r="E586" s="156"/>
    </row>
    <row r="587" spans="5:5" ht="12.75" customHeight="1">
      <c r="E587" s="156"/>
    </row>
    <row r="588" spans="5:5" ht="12.75" customHeight="1">
      <c r="E588" s="156"/>
    </row>
    <row r="589" spans="5:5" ht="12.75" customHeight="1">
      <c r="E589" s="156"/>
    </row>
    <row r="590" spans="5:5" ht="12.75" customHeight="1">
      <c r="E590" s="156"/>
    </row>
    <row r="591" spans="5:5" ht="12.75" customHeight="1">
      <c r="E591" s="156"/>
    </row>
    <row r="592" spans="5:5" ht="12.75" customHeight="1">
      <c r="E592" s="156"/>
    </row>
    <row r="593" spans="5:5" ht="12.75" customHeight="1">
      <c r="E593" s="156"/>
    </row>
    <row r="594" spans="5:5" ht="12.75" customHeight="1">
      <c r="E594" s="156"/>
    </row>
    <row r="595" spans="5:5" ht="12.75" customHeight="1">
      <c r="E595" s="156"/>
    </row>
    <row r="596" spans="5:5" ht="12.75" customHeight="1">
      <c r="E596" s="156"/>
    </row>
    <row r="597" spans="5:5" ht="12.75" customHeight="1">
      <c r="E597" s="156"/>
    </row>
    <row r="598" spans="5:5" ht="12.75" customHeight="1">
      <c r="E598" s="156"/>
    </row>
    <row r="599" spans="5:5" ht="12.75" customHeight="1">
      <c r="E599" s="156"/>
    </row>
    <row r="600" spans="5:5" ht="12.75" customHeight="1">
      <c r="E600" s="156"/>
    </row>
    <row r="601" spans="5:5" ht="12.75" customHeight="1">
      <c r="E601" s="156"/>
    </row>
    <row r="602" spans="5:5" ht="12.75" customHeight="1">
      <c r="E602" s="156"/>
    </row>
    <row r="603" spans="5:5" ht="12.75" customHeight="1">
      <c r="E603" s="156"/>
    </row>
    <row r="604" spans="5:5" ht="12.75" customHeight="1">
      <c r="E604" s="156"/>
    </row>
    <row r="605" spans="5:5" ht="12.75" customHeight="1">
      <c r="E605" s="156"/>
    </row>
    <row r="606" spans="5:5" ht="12.75" customHeight="1">
      <c r="E606" s="156"/>
    </row>
    <row r="607" spans="5:5" ht="12.75" customHeight="1">
      <c r="E607" s="156"/>
    </row>
    <row r="608" spans="5:5" ht="12.75" customHeight="1">
      <c r="E608" s="156"/>
    </row>
    <row r="609" spans="5:5" ht="12.75" customHeight="1">
      <c r="E609" s="156"/>
    </row>
    <row r="610" spans="5:5" ht="12.75" customHeight="1">
      <c r="E610" s="156"/>
    </row>
    <row r="611" spans="5:5" ht="12.75" customHeight="1">
      <c r="E611" s="156"/>
    </row>
    <row r="612" spans="5:5" ht="12.75" customHeight="1">
      <c r="E612" s="156"/>
    </row>
    <row r="613" spans="5:5" ht="12.75" customHeight="1">
      <c r="E613" s="156"/>
    </row>
    <row r="614" spans="5:5" ht="12.75" customHeight="1">
      <c r="E614" s="156"/>
    </row>
    <row r="615" spans="5:5" ht="12.75" customHeight="1">
      <c r="E615" s="156"/>
    </row>
    <row r="616" spans="5:5" ht="12.75" customHeight="1">
      <c r="E616" s="156"/>
    </row>
    <row r="617" spans="5:5" ht="12.75" customHeight="1">
      <c r="E617" s="156"/>
    </row>
    <row r="618" spans="5:5" ht="12.75" customHeight="1">
      <c r="E618" s="156"/>
    </row>
    <row r="619" spans="5:5" ht="12.75" customHeight="1">
      <c r="E619" s="156"/>
    </row>
    <row r="620" spans="5:5" ht="12.75" customHeight="1">
      <c r="E620" s="156"/>
    </row>
    <row r="621" spans="5:5" ht="12.75" customHeight="1">
      <c r="E621" s="156"/>
    </row>
    <row r="622" spans="5:5" ht="12.75" customHeight="1">
      <c r="E622" s="156"/>
    </row>
    <row r="623" spans="5:5" ht="12.75" customHeight="1">
      <c r="E623" s="156"/>
    </row>
    <row r="624" spans="5:5" ht="12.75" customHeight="1">
      <c r="E624" s="156"/>
    </row>
    <row r="625" spans="5:5" ht="12.75" customHeight="1">
      <c r="E625" s="156"/>
    </row>
    <row r="626" spans="5:5" ht="12.75" customHeight="1">
      <c r="E626" s="156"/>
    </row>
    <row r="627" spans="5:5" ht="12.75" customHeight="1">
      <c r="E627" s="156"/>
    </row>
    <row r="628" spans="5:5" ht="12.75" customHeight="1">
      <c r="E628" s="156"/>
    </row>
    <row r="629" spans="5:5" ht="12.75" customHeight="1">
      <c r="E629" s="156"/>
    </row>
    <row r="630" spans="5:5" ht="12.75" customHeight="1">
      <c r="E630" s="156"/>
    </row>
    <row r="631" spans="5:5" ht="12.75" customHeight="1">
      <c r="E631" s="156"/>
    </row>
    <row r="632" spans="5:5" ht="12.75" customHeight="1">
      <c r="E632" s="156"/>
    </row>
    <row r="633" spans="5:5" ht="12.75" customHeight="1">
      <c r="E633" s="156"/>
    </row>
    <row r="634" spans="5:5" ht="12.75" customHeight="1">
      <c r="E634" s="156"/>
    </row>
    <row r="635" spans="5:5" ht="12.75" customHeight="1">
      <c r="E635" s="156"/>
    </row>
    <row r="636" spans="5:5" ht="12.75" customHeight="1">
      <c r="E636" s="156"/>
    </row>
    <row r="637" spans="5:5" ht="12.75" customHeight="1">
      <c r="E637" s="156"/>
    </row>
    <row r="638" spans="5:5" ht="12.75" customHeight="1">
      <c r="E638" s="156"/>
    </row>
    <row r="639" spans="5:5" ht="12.75" customHeight="1">
      <c r="E639" s="156"/>
    </row>
    <row r="640" spans="5:5" ht="12.75" customHeight="1">
      <c r="E640" s="156"/>
    </row>
    <row r="641" spans="5:5" ht="12.75" customHeight="1">
      <c r="E641" s="156"/>
    </row>
    <row r="642" spans="5:5" ht="12.75" customHeight="1">
      <c r="E642" s="156"/>
    </row>
    <row r="643" spans="5:5" ht="12.75" customHeight="1">
      <c r="E643" s="156"/>
    </row>
    <row r="644" spans="5:5" ht="12.75" customHeight="1">
      <c r="E644" s="156"/>
    </row>
    <row r="645" spans="5:5" ht="12.75" customHeight="1">
      <c r="E645" s="156"/>
    </row>
    <row r="646" spans="5:5" ht="12.75" customHeight="1">
      <c r="E646" s="156"/>
    </row>
    <row r="647" spans="5:5" ht="12.75" customHeight="1">
      <c r="E647" s="156"/>
    </row>
    <row r="648" spans="5:5" ht="12.75" customHeight="1">
      <c r="E648" s="156"/>
    </row>
    <row r="649" spans="5:5" ht="12.75" customHeight="1">
      <c r="E649" s="156"/>
    </row>
    <row r="650" spans="5:5" ht="12.75" customHeight="1">
      <c r="E650" s="156"/>
    </row>
    <row r="651" spans="5:5" ht="12.75" customHeight="1">
      <c r="E651" s="156"/>
    </row>
    <row r="652" spans="5:5" ht="12.75" customHeight="1">
      <c r="E652" s="156"/>
    </row>
    <row r="653" spans="5:5" ht="12.75" customHeight="1">
      <c r="E653" s="156"/>
    </row>
    <row r="654" spans="5:5" ht="12.75" customHeight="1">
      <c r="E654" s="156"/>
    </row>
    <row r="655" spans="5:5" ht="12.75" customHeight="1">
      <c r="E655" s="156"/>
    </row>
    <row r="656" spans="5:5" ht="12.75" customHeight="1">
      <c r="E656" s="156"/>
    </row>
    <row r="657" spans="5:5" ht="12.75" customHeight="1">
      <c r="E657" s="156"/>
    </row>
    <row r="658" spans="5:5" ht="12.75" customHeight="1">
      <c r="E658" s="156"/>
    </row>
    <row r="659" spans="5:5" ht="12.75" customHeight="1">
      <c r="E659" s="156"/>
    </row>
    <row r="660" spans="5:5" ht="12.75" customHeight="1">
      <c r="E660" s="156"/>
    </row>
    <row r="661" spans="5:5" ht="12.75" customHeight="1">
      <c r="E661" s="156"/>
    </row>
    <row r="662" spans="5:5" ht="12.75" customHeight="1">
      <c r="E662" s="156"/>
    </row>
    <row r="663" spans="5:5" ht="12.75" customHeight="1">
      <c r="E663" s="156"/>
    </row>
    <row r="664" spans="5:5" ht="12.75" customHeight="1">
      <c r="E664" s="156"/>
    </row>
    <row r="665" spans="5:5" ht="12.75" customHeight="1">
      <c r="E665" s="156"/>
    </row>
    <row r="666" spans="5:5" ht="12.75" customHeight="1">
      <c r="E666" s="156"/>
    </row>
    <row r="667" spans="5:5" ht="12.75" customHeight="1">
      <c r="E667" s="156"/>
    </row>
    <row r="668" spans="5:5" ht="12.75" customHeight="1">
      <c r="E668" s="156"/>
    </row>
    <row r="669" spans="5:5" ht="12.75" customHeight="1">
      <c r="E669" s="156"/>
    </row>
    <row r="670" spans="5:5" ht="12.75" customHeight="1">
      <c r="E670" s="156"/>
    </row>
    <row r="671" spans="5:5" ht="12.75" customHeight="1">
      <c r="E671" s="156"/>
    </row>
    <row r="672" spans="5:5" ht="12.75" customHeight="1">
      <c r="E672" s="156"/>
    </row>
    <row r="673" spans="5:5" ht="12.75" customHeight="1">
      <c r="E673" s="156"/>
    </row>
    <row r="674" spans="5:5" ht="12.75" customHeight="1">
      <c r="E674" s="156"/>
    </row>
    <row r="675" spans="5:5" ht="12.75" customHeight="1">
      <c r="E675" s="156"/>
    </row>
    <row r="676" spans="5:5" ht="12.75" customHeight="1">
      <c r="E676" s="156"/>
    </row>
    <row r="677" spans="5:5" ht="12.75" customHeight="1">
      <c r="E677" s="156"/>
    </row>
    <row r="678" spans="5:5" ht="12.75" customHeight="1">
      <c r="E678" s="156"/>
    </row>
    <row r="679" spans="5:5" ht="12.75" customHeight="1">
      <c r="E679" s="156"/>
    </row>
    <row r="680" spans="5:5" ht="12.75" customHeight="1">
      <c r="E680" s="156"/>
    </row>
    <row r="681" spans="5:5" ht="12.75" customHeight="1">
      <c r="E681" s="156"/>
    </row>
    <row r="682" spans="5:5" ht="12.75" customHeight="1">
      <c r="E682" s="156"/>
    </row>
    <row r="683" spans="5:5" ht="12.75" customHeight="1">
      <c r="E683" s="156"/>
    </row>
    <row r="684" spans="5:5" ht="12.75" customHeight="1">
      <c r="E684" s="156"/>
    </row>
    <row r="685" spans="5:5" ht="12.75" customHeight="1">
      <c r="E685" s="156"/>
    </row>
    <row r="686" spans="5:5" ht="12.75" customHeight="1">
      <c r="E686" s="156"/>
    </row>
    <row r="687" spans="5:5" ht="12.75" customHeight="1">
      <c r="E687" s="156"/>
    </row>
    <row r="688" spans="5:5" ht="12.75" customHeight="1">
      <c r="E688" s="156"/>
    </row>
    <row r="689" spans="5:5" ht="12.75" customHeight="1">
      <c r="E689" s="156"/>
    </row>
    <row r="690" spans="5:5" ht="12.75" customHeight="1">
      <c r="E690" s="156"/>
    </row>
    <row r="691" spans="5:5" ht="12.75" customHeight="1">
      <c r="E691" s="156"/>
    </row>
    <row r="692" spans="5:5" ht="12.75" customHeight="1">
      <c r="E692" s="156"/>
    </row>
    <row r="693" spans="5:5" ht="12.75" customHeight="1">
      <c r="E693" s="156"/>
    </row>
    <row r="694" spans="5:5" ht="12.75" customHeight="1">
      <c r="E694" s="156"/>
    </row>
    <row r="695" spans="5:5" ht="12.75" customHeight="1">
      <c r="E695" s="156"/>
    </row>
    <row r="696" spans="5:5" ht="12.75" customHeight="1">
      <c r="E696" s="156"/>
    </row>
    <row r="697" spans="5:5" ht="12.75" customHeight="1">
      <c r="E697" s="156"/>
    </row>
    <row r="698" spans="5:5" ht="12.75" customHeight="1">
      <c r="E698" s="156"/>
    </row>
    <row r="699" spans="5:5" ht="12.75" customHeight="1">
      <c r="E699" s="156"/>
    </row>
    <row r="700" spans="5:5" ht="12.75" customHeight="1">
      <c r="E700" s="156"/>
    </row>
    <row r="701" spans="5:5" ht="12.75" customHeight="1">
      <c r="E701" s="156"/>
    </row>
    <row r="702" spans="5:5" ht="12.75" customHeight="1">
      <c r="E702" s="156"/>
    </row>
    <row r="703" spans="5:5" ht="12.75" customHeight="1">
      <c r="E703" s="156"/>
    </row>
    <row r="704" spans="5:5" ht="12.75" customHeight="1">
      <c r="E704" s="156"/>
    </row>
    <row r="705" spans="5:5" ht="12.75" customHeight="1">
      <c r="E705" s="156"/>
    </row>
    <row r="706" spans="5:5" ht="12.75" customHeight="1">
      <c r="E706" s="156"/>
    </row>
    <row r="707" spans="5:5" ht="12.75" customHeight="1">
      <c r="E707" s="156"/>
    </row>
    <row r="708" spans="5:5" ht="12.75" customHeight="1">
      <c r="E708" s="156"/>
    </row>
    <row r="709" spans="5:5" ht="12.75" customHeight="1">
      <c r="E709" s="156"/>
    </row>
    <row r="710" spans="5:5" ht="12.75" customHeight="1">
      <c r="E710" s="156"/>
    </row>
    <row r="711" spans="5:5" ht="12.75" customHeight="1">
      <c r="E711" s="156"/>
    </row>
    <row r="712" spans="5:5" ht="12.75" customHeight="1">
      <c r="E712" s="156"/>
    </row>
    <row r="713" spans="5:5" ht="12.75" customHeight="1">
      <c r="E713" s="156"/>
    </row>
    <row r="714" spans="5:5" ht="12.75" customHeight="1">
      <c r="E714" s="156"/>
    </row>
    <row r="715" spans="5:5" ht="12.75" customHeight="1">
      <c r="E715" s="156"/>
    </row>
    <row r="716" spans="5:5" ht="12.75" customHeight="1">
      <c r="E716" s="156"/>
    </row>
    <row r="717" spans="5:5" ht="12.75" customHeight="1">
      <c r="E717" s="156"/>
    </row>
    <row r="718" spans="5:5" ht="12.75" customHeight="1">
      <c r="E718" s="156"/>
    </row>
    <row r="719" spans="5:5" ht="12.75" customHeight="1">
      <c r="E719" s="156"/>
    </row>
    <row r="720" spans="5:5" ht="12.75" customHeight="1">
      <c r="E720" s="156"/>
    </row>
    <row r="721" spans="5:5" ht="12.75" customHeight="1">
      <c r="E721" s="156"/>
    </row>
    <row r="722" spans="5:5" ht="12.75" customHeight="1">
      <c r="E722" s="156"/>
    </row>
    <row r="723" spans="5:5" ht="12.75" customHeight="1">
      <c r="E723" s="156"/>
    </row>
    <row r="724" spans="5:5" ht="12.75" customHeight="1">
      <c r="E724" s="156"/>
    </row>
    <row r="725" spans="5:5" ht="12.75" customHeight="1">
      <c r="E725" s="156"/>
    </row>
    <row r="726" spans="5:5" ht="12.75" customHeight="1">
      <c r="E726" s="156"/>
    </row>
    <row r="727" spans="5:5" ht="12.75" customHeight="1">
      <c r="E727" s="156"/>
    </row>
    <row r="728" spans="5:5" ht="12.75" customHeight="1">
      <c r="E728" s="156"/>
    </row>
    <row r="729" spans="5:5" ht="12.75" customHeight="1">
      <c r="E729" s="156"/>
    </row>
    <row r="730" spans="5:5" ht="12.75" customHeight="1">
      <c r="E730" s="156"/>
    </row>
    <row r="731" spans="5:5" ht="12.75" customHeight="1">
      <c r="E731" s="156"/>
    </row>
    <row r="732" spans="5:5" ht="12.75" customHeight="1">
      <c r="E732" s="156"/>
    </row>
    <row r="733" spans="5:5" ht="12.75" customHeight="1">
      <c r="E733" s="156"/>
    </row>
    <row r="734" spans="5:5" ht="12.75" customHeight="1">
      <c r="E734" s="156"/>
    </row>
    <row r="735" spans="5:5" ht="12.75" customHeight="1">
      <c r="E735" s="156"/>
    </row>
    <row r="736" spans="5:5" ht="12.75" customHeight="1">
      <c r="E736" s="156"/>
    </row>
    <row r="737" spans="5:5" ht="12.75" customHeight="1">
      <c r="E737" s="156"/>
    </row>
    <row r="738" spans="5:5" ht="12.75" customHeight="1">
      <c r="E738" s="156"/>
    </row>
    <row r="739" spans="5:5" ht="12.75" customHeight="1">
      <c r="E739" s="156"/>
    </row>
    <row r="740" spans="5:5" ht="12.75" customHeight="1">
      <c r="E740" s="156"/>
    </row>
    <row r="741" spans="5:5" ht="12.75" customHeight="1">
      <c r="E741" s="156"/>
    </row>
    <row r="742" spans="5:5" ht="12.75" customHeight="1">
      <c r="E742" s="156"/>
    </row>
    <row r="743" spans="5:5" ht="12.75" customHeight="1">
      <c r="E743" s="156"/>
    </row>
    <row r="744" spans="5:5" ht="12.75" customHeight="1">
      <c r="E744" s="156"/>
    </row>
    <row r="745" spans="5:5" ht="12.75" customHeight="1">
      <c r="E745" s="156"/>
    </row>
    <row r="746" spans="5:5" ht="12.75" customHeight="1">
      <c r="E746" s="156"/>
    </row>
    <row r="747" spans="5:5" ht="12.75" customHeight="1">
      <c r="E747" s="156"/>
    </row>
    <row r="748" spans="5:5" ht="12.75" customHeight="1">
      <c r="E748" s="156"/>
    </row>
    <row r="749" spans="5:5" ht="12.75" customHeight="1">
      <c r="E749" s="156"/>
    </row>
    <row r="750" spans="5:5" ht="12.75" customHeight="1">
      <c r="E750" s="156"/>
    </row>
    <row r="751" spans="5:5" ht="12.75" customHeight="1">
      <c r="E751" s="156"/>
    </row>
    <row r="752" spans="5:5" ht="12.75" customHeight="1">
      <c r="E752" s="156"/>
    </row>
    <row r="753" spans="5:5" ht="12.75" customHeight="1">
      <c r="E753" s="156"/>
    </row>
    <row r="754" spans="5:5" ht="12.75" customHeight="1">
      <c r="E754" s="156"/>
    </row>
    <row r="755" spans="5:5" ht="12.75" customHeight="1">
      <c r="E755" s="156"/>
    </row>
    <row r="756" spans="5:5" ht="12.75" customHeight="1">
      <c r="E756" s="156"/>
    </row>
    <row r="757" spans="5:5" ht="12.75" customHeight="1">
      <c r="E757" s="156"/>
    </row>
    <row r="758" spans="5:5" ht="12.75" customHeight="1">
      <c r="E758" s="156"/>
    </row>
    <row r="759" spans="5:5" ht="12.75" customHeight="1">
      <c r="E759" s="156"/>
    </row>
    <row r="760" spans="5:5" ht="12.75" customHeight="1">
      <c r="E760" s="156"/>
    </row>
    <row r="761" spans="5:5" ht="12.75" customHeight="1">
      <c r="E761" s="156"/>
    </row>
    <row r="762" spans="5:5" ht="12.75" customHeight="1">
      <c r="E762" s="156"/>
    </row>
    <row r="763" spans="5:5" ht="12.75" customHeight="1">
      <c r="E763" s="156"/>
    </row>
    <row r="764" spans="5:5" ht="12.75" customHeight="1">
      <c r="E764" s="156"/>
    </row>
    <row r="765" spans="5:5" ht="12.75" customHeight="1">
      <c r="E765" s="156"/>
    </row>
    <row r="766" spans="5:5" ht="12.75" customHeight="1">
      <c r="E766" s="156"/>
    </row>
    <row r="767" spans="5:5" ht="12.75" customHeight="1">
      <c r="E767" s="156"/>
    </row>
    <row r="768" spans="5:5" ht="12.75" customHeight="1">
      <c r="E768" s="156"/>
    </row>
    <row r="769" spans="5:5" ht="12.75" customHeight="1">
      <c r="E769" s="156"/>
    </row>
    <row r="770" spans="5:5" ht="12.75" customHeight="1">
      <c r="E770" s="156"/>
    </row>
    <row r="771" spans="5:5" ht="12.75" customHeight="1">
      <c r="E771" s="156"/>
    </row>
    <row r="772" spans="5:5" ht="12.75" customHeight="1">
      <c r="E772" s="156"/>
    </row>
    <row r="773" spans="5:5" ht="12.75" customHeight="1">
      <c r="E773" s="156"/>
    </row>
    <row r="774" spans="5:5" ht="12.75" customHeight="1">
      <c r="E774" s="156"/>
    </row>
    <row r="775" spans="5:5" ht="12.75" customHeight="1">
      <c r="E775" s="156"/>
    </row>
    <row r="776" spans="5:5" ht="12.75" customHeight="1">
      <c r="E776" s="156"/>
    </row>
    <row r="777" spans="5:5" ht="12.75" customHeight="1">
      <c r="E777" s="156"/>
    </row>
    <row r="778" spans="5:5" ht="12.75" customHeight="1">
      <c r="E778" s="156"/>
    </row>
    <row r="779" spans="5:5" ht="12.75" customHeight="1">
      <c r="E779" s="156"/>
    </row>
    <row r="780" spans="5:5" ht="12.75" customHeight="1">
      <c r="E780" s="156"/>
    </row>
    <row r="781" spans="5:5" ht="12.75" customHeight="1">
      <c r="E781" s="156"/>
    </row>
    <row r="782" spans="5:5" ht="12.75" customHeight="1">
      <c r="E782" s="156"/>
    </row>
    <row r="783" spans="5:5" ht="12.75" customHeight="1">
      <c r="E783" s="156"/>
    </row>
    <row r="784" spans="5:5" ht="12.75" customHeight="1">
      <c r="E784" s="156"/>
    </row>
    <row r="785" spans="5:5" ht="12.75" customHeight="1">
      <c r="E785" s="156"/>
    </row>
    <row r="786" spans="5:5" ht="12.75" customHeight="1">
      <c r="E786" s="156"/>
    </row>
    <row r="787" spans="5:5" ht="12.75" customHeight="1">
      <c r="E787" s="156"/>
    </row>
    <row r="788" spans="5:5" ht="12.75" customHeight="1">
      <c r="E788" s="156"/>
    </row>
    <row r="789" spans="5:5" ht="12.75" customHeight="1">
      <c r="E789" s="156"/>
    </row>
    <row r="790" spans="5:5" ht="12.75" customHeight="1">
      <c r="E790" s="156"/>
    </row>
    <row r="791" spans="5:5" ht="12.75" customHeight="1">
      <c r="E791" s="156"/>
    </row>
    <row r="792" spans="5:5" ht="12.75" customHeight="1">
      <c r="E792" s="156"/>
    </row>
    <row r="793" spans="5:5" ht="12.75" customHeight="1">
      <c r="E793" s="156"/>
    </row>
    <row r="794" spans="5:5" ht="12.75" customHeight="1">
      <c r="E794" s="156"/>
    </row>
    <row r="795" spans="5:5" ht="12.75" customHeight="1">
      <c r="E795" s="156"/>
    </row>
    <row r="796" spans="5:5" ht="12.75" customHeight="1">
      <c r="E796" s="156"/>
    </row>
    <row r="797" spans="5:5" ht="12.75" customHeight="1">
      <c r="E797" s="156"/>
    </row>
    <row r="798" spans="5:5" ht="12.75" customHeight="1">
      <c r="E798" s="156"/>
    </row>
    <row r="799" spans="5:5" ht="12.75" customHeight="1">
      <c r="E799" s="156"/>
    </row>
    <row r="800" spans="5:5" ht="12.75" customHeight="1">
      <c r="E800" s="156"/>
    </row>
    <row r="801" spans="5:5" ht="12.75" customHeight="1">
      <c r="E801" s="156"/>
    </row>
    <row r="802" spans="5:5" ht="12.75" customHeight="1">
      <c r="E802" s="156"/>
    </row>
    <row r="803" spans="5:5" ht="12.75" customHeight="1">
      <c r="E803" s="156"/>
    </row>
    <row r="804" spans="5:5" ht="12.75" customHeight="1">
      <c r="E804" s="156"/>
    </row>
    <row r="805" spans="5:5" ht="12.75" customHeight="1">
      <c r="E805" s="156"/>
    </row>
    <row r="806" spans="5:5" ht="12.75" customHeight="1">
      <c r="E806" s="156"/>
    </row>
    <row r="807" spans="5:5" ht="12.75" customHeight="1">
      <c r="E807" s="156"/>
    </row>
    <row r="808" spans="5:5" ht="12.75" customHeight="1">
      <c r="E808" s="156"/>
    </row>
    <row r="809" spans="5:5" ht="12.75" customHeight="1">
      <c r="E809" s="156"/>
    </row>
    <row r="810" spans="5:5" ht="12.75" customHeight="1">
      <c r="E810" s="156"/>
    </row>
    <row r="811" spans="5:5" ht="12.75" customHeight="1">
      <c r="E811" s="156"/>
    </row>
    <row r="812" spans="5:5" ht="12.75" customHeight="1">
      <c r="E812" s="156"/>
    </row>
    <row r="813" spans="5:5" ht="12.75" customHeight="1">
      <c r="E813" s="156"/>
    </row>
    <row r="814" spans="5:5" ht="12.75" customHeight="1">
      <c r="E814" s="156"/>
    </row>
    <row r="815" spans="5:5" ht="12.75" customHeight="1">
      <c r="E815" s="156"/>
    </row>
    <row r="816" spans="5:5" ht="12.75" customHeight="1">
      <c r="E816" s="156"/>
    </row>
    <row r="817" spans="5:5" ht="12.75" customHeight="1">
      <c r="E817" s="156"/>
    </row>
    <row r="818" spans="5:5" ht="12.75" customHeight="1">
      <c r="E818" s="156"/>
    </row>
    <row r="819" spans="5:5" ht="12.75" customHeight="1">
      <c r="E819" s="156"/>
    </row>
    <row r="820" spans="5:5" ht="12.75" customHeight="1">
      <c r="E820" s="156"/>
    </row>
    <row r="821" spans="5:5" ht="12.75" customHeight="1">
      <c r="E821" s="156"/>
    </row>
    <row r="822" spans="5:5" ht="12.75" customHeight="1">
      <c r="E822" s="156"/>
    </row>
    <row r="823" spans="5:5" ht="12.75" customHeight="1">
      <c r="E823" s="156"/>
    </row>
    <row r="824" spans="5:5" ht="12.75" customHeight="1">
      <c r="E824" s="156"/>
    </row>
    <row r="825" spans="5:5" ht="12.75" customHeight="1">
      <c r="E825" s="156"/>
    </row>
    <row r="826" spans="5:5" ht="12.75" customHeight="1">
      <c r="E826" s="156"/>
    </row>
    <row r="827" spans="5:5" ht="12.75" customHeight="1">
      <c r="E827" s="156"/>
    </row>
    <row r="828" spans="5:5" ht="12.75" customHeight="1">
      <c r="E828" s="156"/>
    </row>
    <row r="829" spans="5:5" ht="12.75" customHeight="1">
      <c r="E829" s="156"/>
    </row>
    <row r="830" spans="5:5" ht="12.75" customHeight="1">
      <c r="E830" s="156"/>
    </row>
    <row r="831" spans="5:5" ht="12.75" customHeight="1">
      <c r="E831" s="156"/>
    </row>
    <row r="832" spans="5:5" ht="12.75" customHeight="1">
      <c r="E832" s="156"/>
    </row>
    <row r="833" spans="5:5" ht="12.75" customHeight="1">
      <c r="E833" s="156"/>
    </row>
    <row r="834" spans="5:5" ht="12.75" customHeight="1">
      <c r="E834" s="156"/>
    </row>
    <row r="835" spans="5:5" ht="12.75" customHeight="1">
      <c r="E835" s="156"/>
    </row>
    <row r="836" spans="5:5" ht="12.75" customHeight="1">
      <c r="E836" s="156"/>
    </row>
    <row r="837" spans="5:5" ht="12.75" customHeight="1">
      <c r="E837" s="156"/>
    </row>
    <row r="838" spans="5:5" ht="12.75" customHeight="1">
      <c r="E838" s="156"/>
    </row>
    <row r="839" spans="5:5" ht="12.75" customHeight="1">
      <c r="E839" s="156"/>
    </row>
    <row r="840" spans="5:5" ht="12.75" customHeight="1">
      <c r="E840" s="156"/>
    </row>
    <row r="841" spans="5:5" ht="12.75" customHeight="1">
      <c r="E841" s="156"/>
    </row>
    <row r="842" spans="5:5" ht="12.75" customHeight="1">
      <c r="E842" s="156"/>
    </row>
    <row r="843" spans="5:5" ht="12.75" customHeight="1">
      <c r="E843" s="156"/>
    </row>
    <row r="844" spans="5:5" ht="12.75" customHeight="1">
      <c r="E844" s="156"/>
    </row>
    <row r="845" spans="5:5" ht="12.75" customHeight="1">
      <c r="E845" s="156"/>
    </row>
    <row r="846" spans="5:5" ht="12.75" customHeight="1">
      <c r="E846" s="156"/>
    </row>
    <row r="847" spans="5:5" ht="12.75" customHeight="1">
      <c r="E847" s="156"/>
    </row>
    <row r="848" spans="5:5" ht="12.75" customHeight="1">
      <c r="E848" s="156"/>
    </row>
    <row r="849" spans="5:5" ht="12.75" customHeight="1">
      <c r="E849" s="156"/>
    </row>
    <row r="850" spans="5:5" ht="12.75" customHeight="1">
      <c r="E850" s="156"/>
    </row>
    <row r="851" spans="5:5" ht="12.75" customHeight="1">
      <c r="E851" s="156"/>
    </row>
    <row r="852" spans="5:5" ht="12.75" customHeight="1">
      <c r="E852" s="156"/>
    </row>
    <row r="853" spans="5:5" ht="12.75" customHeight="1">
      <c r="E853" s="156"/>
    </row>
    <row r="854" spans="5:5" ht="12.75" customHeight="1">
      <c r="E854" s="156"/>
    </row>
    <row r="855" spans="5:5" ht="12.75" customHeight="1">
      <c r="E855" s="156"/>
    </row>
    <row r="856" spans="5:5" ht="12.75" customHeight="1">
      <c r="E856" s="156"/>
    </row>
    <row r="857" spans="5:5" ht="12.75" customHeight="1">
      <c r="E857" s="156"/>
    </row>
    <row r="858" spans="5:5" ht="12.75" customHeight="1">
      <c r="E858" s="156"/>
    </row>
    <row r="859" spans="5:5" ht="12.75" customHeight="1">
      <c r="E859" s="156"/>
    </row>
    <row r="860" spans="5:5" ht="12.75" customHeight="1">
      <c r="E860" s="156"/>
    </row>
    <row r="861" spans="5:5" ht="12.75" customHeight="1">
      <c r="E861" s="156"/>
    </row>
    <row r="862" spans="5:5" ht="12.75" customHeight="1">
      <c r="E862" s="156"/>
    </row>
    <row r="863" spans="5:5" ht="12.75" customHeight="1">
      <c r="E863" s="156"/>
    </row>
    <row r="864" spans="5:5" ht="12.75" customHeight="1">
      <c r="E864" s="156"/>
    </row>
    <row r="865" spans="5:5" ht="12.75" customHeight="1">
      <c r="E865" s="156"/>
    </row>
    <row r="866" spans="5:5" ht="12.75" customHeight="1">
      <c r="E866" s="156"/>
    </row>
    <row r="867" spans="5:5" ht="12.75" customHeight="1">
      <c r="E867" s="156"/>
    </row>
    <row r="868" spans="5:5" ht="12.75" customHeight="1">
      <c r="E868" s="156"/>
    </row>
    <row r="869" spans="5:5" ht="12.75" customHeight="1">
      <c r="E869" s="156"/>
    </row>
    <row r="870" spans="5:5" ht="12.75" customHeight="1">
      <c r="E870" s="156"/>
    </row>
    <row r="871" spans="5:5" ht="12.75" customHeight="1">
      <c r="E871" s="156"/>
    </row>
    <row r="872" spans="5:5" ht="12.75" customHeight="1">
      <c r="E872" s="156"/>
    </row>
    <row r="873" spans="5:5" ht="12.75" customHeight="1">
      <c r="E873" s="156"/>
    </row>
    <row r="874" spans="5:5" ht="12.75" customHeight="1">
      <c r="E874" s="156"/>
    </row>
    <row r="875" spans="5:5" ht="12.75" customHeight="1">
      <c r="E875" s="156"/>
    </row>
    <row r="876" spans="5:5" ht="12.75" customHeight="1">
      <c r="E876" s="156"/>
    </row>
    <row r="877" spans="5:5" ht="12.75" customHeight="1">
      <c r="E877" s="156"/>
    </row>
    <row r="878" spans="5:5" ht="12.75" customHeight="1">
      <c r="E878" s="156"/>
    </row>
    <row r="879" spans="5:5" ht="12.75" customHeight="1">
      <c r="E879" s="156"/>
    </row>
    <row r="880" spans="5:5" ht="12.75" customHeight="1">
      <c r="E880" s="156"/>
    </row>
    <row r="881" spans="5:5" ht="12.75" customHeight="1">
      <c r="E881" s="156"/>
    </row>
    <row r="882" spans="5:5" ht="12.75" customHeight="1">
      <c r="E882" s="156"/>
    </row>
    <row r="883" spans="5:5" ht="12.75" customHeight="1">
      <c r="E883" s="156"/>
    </row>
    <row r="884" spans="5:5" ht="12.75" customHeight="1">
      <c r="E884" s="156"/>
    </row>
    <row r="885" spans="5:5" ht="12.75" customHeight="1">
      <c r="E885" s="156"/>
    </row>
    <row r="886" spans="5:5" ht="12.75" customHeight="1">
      <c r="E886" s="156"/>
    </row>
    <row r="887" spans="5:5" ht="12.75" customHeight="1">
      <c r="E887" s="156"/>
    </row>
    <row r="888" spans="5:5" ht="12.75" customHeight="1">
      <c r="E888" s="156"/>
    </row>
    <row r="889" spans="5:5" ht="12.75" customHeight="1">
      <c r="E889" s="156"/>
    </row>
    <row r="890" spans="5:5" ht="12.75" customHeight="1">
      <c r="E890" s="156"/>
    </row>
    <row r="891" spans="5:5" ht="12.75" customHeight="1">
      <c r="E891" s="156"/>
    </row>
    <row r="892" spans="5:5" ht="12.75" customHeight="1">
      <c r="E892" s="156"/>
    </row>
    <row r="893" spans="5:5" ht="12.75" customHeight="1">
      <c r="E893" s="156"/>
    </row>
    <row r="894" spans="5:5" ht="12.75" customHeight="1">
      <c r="E894" s="156"/>
    </row>
    <row r="895" spans="5:5" ht="12.75" customHeight="1">
      <c r="E895" s="156"/>
    </row>
    <row r="896" spans="5:5" ht="12.75" customHeight="1">
      <c r="E896" s="156"/>
    </row>
    <row r="897" spans="5:5" ht="12.75" customHeight="1">
      <c r="E897" s="156"/>
    </row>
    <row r="898" spans="5:5" ht="12.75" customHeight="1">
      <c r="E898" s="156"/>
    </row>
    <row r="899" spans="5:5" ht="12.75" customHeight="1">
      <c r="E899" s="156"/>
    </row>
    <row r="900" spans="5:5" ht="12.75" customHeight="1">
      <c r="E900" s="156"/>
    </row>
    <row r="901" spans="5:5" ht="12.75" customHeight="1">
      <c r="E901" s="156"/>
    </row>
    <row r="902" spans="5:5" ht="12.75" customHeight="1">
      <c r="E902" s="156"/>
    </row>
    <row r="903" spans="5:5" ht="12.75" customHeight="1">
      <c r="E903" s="156"/>
    </row>
    <row r="904" spans="5:5" ht="12.75" customHeight="1">
      <c r="E904" s="156"/>
    </row>
    <row r="905" spans="5:5" ht="12.75" customHeight="1">
      <c r="E905" s="156"/>
    </row>
    <row r="906" spans="5:5" ht="12.75" customHeight="1">
      <c r="E906" s="156"/>
    </row>
    <row r="907" spans="5:5" ht="12.75" customHeight="1">
      <c r="E907" s="156"/>
    </row>
    <row r="908" spans="5:5" ht="12.75" customHeight="1">
      <c r="E908" s="156"/>
    </row>
    <row r="909" spans="5:5" ht="12.75" customHeight="1">
      <c r="E909" s="156"/>
    </row>
    <row r="910" spans="5:5" ht="12.75" customHeight="1">
      <c r="E910" s="156"/>
    </row>
    <row r="911" spans="5:5" ht="12.75" customHeight="1">
      <c r="E911" s="156"/>
    </row>
    <row r="912" spans="5:5" ht="12.75" customHeight="1">
      <c r="E912" s="156"/>
    </row>
    <row r="913" spans="5:5" ht="12.75" customHeight="1">
      <c r="E913" s="156"/>
    </row>
    <row r="914" spans="5:5" ht="12.75" customHeight="1">
      <c r="E914" s="156"/>
    </row>
    <row r="915" spans="5:5" ht="12.75" customHeight="1">
      <c r="E915" s="156"/>
    </row>
    <row r="916" spans="5:5" ht="12.75" customHeight="1">
      <c r="E916" s="156"/>
    </row>
    <row r="917" spans="5:5" ht="12.75" customHeight="1">
      <c r="E917" s="156"/>
    </row>
    <row r="918" spans="5:5" ht="12.75" customHeight="1">
      <c r="E918" s="156"/>
    </row>
    <row r="919" spans="5:5" ht="12.75" customHeight="1">
      <c r="E919" s="156"/>
    </row>
    <row r="920" spans="5:5" ht="12.75" customHeight="1">
      <c r="E920" s="156"/>
    </row>
    <row r="921" spans="5:5" ht="12.75" customHeight="1">
      <c r="E921" s="156"/>
    </row>
    <row r="922" spans="5:5" ht="12.75" customHeight="1">
      <c r="E922" s="156"/>
    </row>
    <row r="923" spans="5:5" ht="12.75" customHeight="1">
      <c r="E923" s="156"/>
    </row>
    <row r="924" spans="5:5" ht="12.75" customHeight="1">
      <c r="E924" s="156"/>
    </row>
    <row r="925" spans="5:5" ht="12.75" customHeight="1">
      <c r="E925" s="156"/>
    </row>
    <row r="926" spans="5:5" ht="12.75" customHeight="1">
      <c r="E926" s="156"/>
    </row>
    <row r="927" spans="5:5" ht="12.75" customHeight="1">
      <c r="E927" s="156"/>
    </row>
    <row r="928" spans="5:5" ht="12.75" customHeight="1">
      <c r="E928" s="156"/>
    </row>
    <row r="929" spans="5:5" ht="12.75" customHeight="1">
      <c r="E929" s="156"/>
    </row>
    <row r="930" spans="5:5" ht="12.75" customHeight="1">
      <c r="E930" s="156"/>
    </row>
    <row r="931" spans="5:5" ht="12.75" customHeight="1">
      <c r="E931" s="156"/>
    </row>
    <row r="932" spans="5:5" ht="12.75" customHeight="1">
      <c r="E932" s="156"/>
    </row>
    <row r="933" spans="5:5" ht="12.75" customHeight="1">
      <c r="E933" s="156"/>
    </row>
    <row r="934" spans="5:5" ht="12.75" customHeight="1">
      <c r="E934" s="156"/>
    </row>
    <row r="935" spans="5:5" ht="12.75" customHeight="1">
      <c r="E935" s="156"/>
    </row>
    <row r="936" spans="5:5" ht="12.75" customHeight="1">
      <c r="E936" s="156"/>
    </row>
    <row r="937" spans="5:5" ht="12.75" customHeight="1">
      <c r="E937" s="156"/>
    </row>
    <row r="938" spans="5:5" ht="12.75" customHeight="1">
      <c r="E938" s="156"/>
    </row>
    <row r="939" spans="5:5" ht="12.75" customHeight="1">
      <c r="E939" s="156"/>
    </row>
    <row r="940" spans="5:5" ht="12.75" customHeight="1">
      <c r="E940" s="156"/>
    </row>
    <row r="941" spans="5:5" ht="12.75" customHeight="1">
      <c r="E941" s="156"/>
    </row>
    <row r="942" spans="5:5" ht="12.75" customHeight="1">
      <c r="E942" s="156"/>
    </row>
    <row r="943" spans="5:5" ht="12.75" customHeight="1">
      <c r="E943" s="156"/>
    </row>
    <row r="944" spans="5:5" ht="12.75" customHeight="1">
      <c r="E944" s="156"/>
    </row>
    <row r="945" spans="5:5" ht="12.75" customHeight="1">
      <c r="E945" s="156"/>
    </row>
    <row r="946" spans="5:5" ht="12.75" customHeight="1">
      <c r="E946" s="156"/>
    </row>
    <row r="947" spans="5:5" ht="12.75" customHeight="1">
      <c r="E947" s="156"/>
    </row>
    <row r="948" spans="5:5" ht="12.75" customHeight="1">
      <c r="E948" s="156"/>
    </row>
    <row r="949" spans="5:5" ht="12.75" customHeight="1">
      <c r="E949" s="156"/>
    </row>
    <row r="950" spans="5:5" ht="12.75" customHeight="1">
      <c r="E950" s="156"/>
    </row>
    <row r="951" spans="5:5" ht="12.75" customHeight="1">
      <c r="E951" s="156"/>
    </row>
    <row r="952" spans="5:5" ht="12.75" customHeight="1">
      <c r="E952" s="156"/>
    </row>
    <row r="953" spans="5:5" ht="12.75" customHeight="1">
      <c r="E953" s="156"/>
    </row>
    <row r="954" spans="5:5" ht="12.75" customHeight="1">
      <c r="E954" s="156"/>
    </row>
    <row r="955" spans="5:5" ht="12.75" customHeight="1">
      <c r="E955" s="156"/>
    </row>
    <row r="956" spans="5:5" ht="12.75" customHeight="1">
      <c r="E956" s="156"/>
    </row>
    <row r="957" spans="5:5" ht="12.75" customHeight="1">
      <c r="E957" s="156"/>
    </row>
    <row r="958" spans="5:5" ht="12.75" customHeight="1">
      <c r="E958" s="156"/>
    </row>
    <row r="959" spans="5:5" ht="12.75" customHeight="1">
      <c r="E959" s="156"/>
    </row>
    <row r="960" spans="5:5" ht="12.75" customHeight="1">
      <c r="E960" s="156"/>
    </row>
    <row r="961" spans="5:5" ht="12.75" customHeight="1">
      <c r="E961" s="156"/>
    </row>
    <row r="962" spans="5:5" ht="12.75" customHeight="1">
      <c r="E962" s="156"/>
    </row>
    <row r="963" spans="5:5" ht="12.75" customHeight="1">
      <c r="E963" s="156"/>
    </row>
    <row r="964" spans="5:5" ht="12.75" customHeight="1">
      <c r="E964" s="156"/>
    </row>
    <row r="965" spans="5:5" ht="12.75" customHeight="1">
      <c r="E965" s="156"/>
    </row>
    <row r="966" spans="5:5" ht="12.75" customHeight="1">
      <c r="E966" s="156"/>
    </row>
    <row r="967" spans="5:5" ht="12.75" customHeight="1">
      <c r="E967" s="156"/>
    </row>
    <row r="968" spans="5:5" ht="12.75" customHeight="1">
      <c r="E968" s="156"/>
    </row>
    <row r="969" spans="5:5" ht="12.75" customHeight="1">
      <c r="E969" s="156"/>
    </row>
    <row r="970" spans="5:5" ht="12.75" customHeight="1">
      <c r="E970" s="156"/>
    </row>
    <row r="971" spans="5:5" ht="12.75" customHeight="1">
      <c r="E971" s="156"/>
    </row>
    <row r="972" spans="5:5" ht="12.75" customHeight="1">
      <c r="E972" s="156"/>
    </row>
    <row r="973" spans="5:5" ht="12.75" customHeight="1">
      <c r="E973" s="156"/>
    </row>
    <row r="974" spans="5:5" ht="12.75" customHeight="1">
      <c r="E974" s="156"/>
    </row>
    <row r="975" spans="5:5" ht="12.75" customHeight="1">
      <c r="E975" s="156"/>
    </row>
    <row r="976" spans="5:5" ht="12.75" customHeight="1">
      <c r="E976" s="156"/>
    </row>
    <row r="977" spans="5:5" ht="12.75" customHeight="1">
      <c r="E977" s="156"/>
    </row>
    <row r="978" spans="5:5" ht="12.75" customHeight="1">
      <c r="E978" s="156"/>
    </row>
    <row r="979" spans="5:5" ht="12.75" customHeight="1">
      <c r="E979" s="156"/>
    </row>
    <row r="980" spans="5:5" ht="12.75" customHeight="1">
      <c r="E980" s="156"/>
    </row>
    <row r="981" spans="5:5" ht="12.75" customHeight="1">
      <c r="E981" s="156"/>
    </row>
    <row r="982" spans="5:5" ht="12.75" customHeight="1">
      <c r="E982" s="156"/>
    </row>
    <row r="983" spans="5:5" ht="12.75" customHeight="1">
      <c r="E983" s="156"/>
    </row>
    <row r="984" spans="5:5" ht="12.75" customHeight="1">
      <c r="E984" s="156"/>
    </row>
    <row r="985" spans="5:5" ht="12.75" customHeight="1">
      <c r="E985" s="156"/>
    </row>
    <row r="986" spans="5:5" ht="12.75" customHeight="1">
      <c r="E986" s="156"/>
    </row>
    <row r="987" spans="5:5" ht="12.75" customHeight="1">
      <c r="E987" s="156"/>
    </row>
    <row r="988" spans="5:5" ht="12.75" customHeight="1">
      <c r="E988" s="156"/>
    </row>
    <row r="989" spans="5:5" ht="12.75" customHeight="1">
      <c r="E989" s="156"/>
    </row>
    <row r="990" spans="5:5" ht="12.75" customHeight="1">
      <c r="E990" s="156"/>
    </row>
    <row r="991" spans="5:5" ht="12.75" customHeight="1">
      <c r="E991" s="156"/>
    </row>
    <row r="992" spans="5:5" ht="12.75" customHeight="1">
      <c r="E992" s="156"/>
    </row>
    <row r="993" spans="5:5" ht="12.75" customHeight="1">
      <c r="E993" s="156"/>
    </row>
    <row r="994" spans="5:5" ht="12.75" customHeight="1">
      <c r="E994" s="156"/>
    </row>
    <row r="995" spans="5:5" ht="12.75" customHeight="1">
      <c r="E995" s="156"/>
    </row>
    <row r="996" spans="5:5" ht="12.75" customHeight="1">
      <c r="E996" s="156"/>
    </row>
    <row r="997" spans="5:5" ht="12.75" customHeight="1">
      <c r="E997" s="156"/>
    </row>
    <row r="998" spans="5:5" ht="12.75" customHeight="1">
      <c r="E998" s="156"/>
    </row>
    <row r="999" spans="5:5" ht="12.75" customHeight="1">
      <c r="E999" s="156"/>
    </row>
    <row r="1000" spans="5:5" ht="12.75" customHeight="1">
      <c r="E1000" s="156"/>
    </row>
  </sheetData>
  <mergeCells count="1">
    <mergeCell ref="B3:E4"/>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Plan</vt:lpstr>
      <vt:lpstr>Mind Maps </vt:lpstr>
      <vt:lpstr>TestScenarios</vt:lpstr>
      <vt:lpstr>TestCase</vt:lpstr>
      <vt:lpstr>Test Summary Report</vt:lpstr>
      <vt:lpstr>Bug Report</vt:lpstr>
      <vt:lpstr>Test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Tahmina Antora</cp:lastModifiedBy>
  <dcterms:created xsi:type="dcterms:W3CDTF">2022-05-29T18:57:31Z</dcterms:created>
  <dcterms:modified xsi:type="dcterms:W3CDTF">2026-04-14T16:11:32Z</dcterms:modified>
</cp:coreProperties>
</file>